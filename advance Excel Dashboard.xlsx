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
    </mc:Choice>
  </mc:AlternateContent>
  <xr:revisionPtr revIDLastSave="0" documentId="8_{C6A4440B-32AB-4235-B0D6-29BC994586D6}" xr6:coauthVersionLast="47" xr6:coauthVersionMax="47" xr10:uidLastSave="{00000000-0000-0000-0000-000000000000}"/>
  <bookViews>
    <workbookView xWindow="-110" yWindow="-110" windowWidth="19420" windowHeight="10300" activeTab="1" xr2:uid="{00000000-000D-0000-FFFF-FFFF00000000}"/>
  </bookViews>
  <sheets>
    <sheet name="Pivot table" sheetId="4" r:id="rId1"/>
    <sheet name="Dashboard" sheetId="5" r:id="rId2"/>
    <sheet name="Business_Transactions" sheetId="1" r:id="rId3"/>
    <sheet name="Pivot_Practice_Guide" sheetId="2" r:id="rId4"/>
    <sheet name="Student_Tasks" sheetId="3" r:id="rId5"/>
  </sheets>
  <definedNames>
    <definedName name="Slicer_Months">#N/A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5" l="1"/>
  <c r="U15" i="5"/>
  <c r="Z15" i="5"/>
  <c r="AE14" i="5"/>
  <c r="A84" i="1"/>
  <c r="H84" i="1"/>
  <c r="I84" i="1"/>
  <c r="G84" i="1"/>
</calcChain>
</file>

<file path=xl/sharedStrings.xml><?xml version="1.0" encoding="utf-8"?>
<sst xmlns="http://schemas.openxmlformats.org/spreadsheetml/2006/main" count="583" uniqueCount="186">
  <si>
    <t>KIOT - Advanced Excel &amp; Power BI | Batch 1 | Day 2 - Session 3: PivotTable Business Analysis</t>
  </si>
  <si>
    <t>Order ID</t>
  </si>
  <si>
    <t>Order Date</t>
  </si>
  <si>
    <t>Region</t>
  </si>
  <si>
    <t>Department</t>
  </si>
  <si>
    <t>Salesperson</t>
  </si>
  <si>
    <t>Category</t>
  </si>
  <si>
    <t>Sales</t>
  </si>
  <si>
    <t>Profit</t>
  </si>
  <si>
    <t>Units</t>
  </si>
  <si>
    <t>O0001</t>
  </si>
  <si>
    <t>Salem</t>
  </si>
  <si>
    <t>Arun</t>
  </si>
  <si>
    <t>Laptop</t>
  </si>
  <si>
    <t>O0002</t>
  </si>
  <si>
    <t>Erode</t>
  </si>
  <si>
    <t>Retail</t>
  </si>
  <si>
    <t>Divya</t>
  </si>
  <si>
    <t>Mobile</t>
  </si>
  <si>
    <t>O0003</t>
  </si>
  <si>
    <t>Coimbatore</t>
  </si>
  <si>
    <t>Corporate</t>
  </si>
  <si>
    <t>Kavin</t>
  </si>
  <si>
    <t>Accessories</t>
  </si>
  <si>
    <t>O0004</t>
  </si>
  <si>
    <t>Namakkal</t>
  </si>
  <si>
    <t>Meena</t>
  </si>
  <si>
    <t>Service</t>
  </si>
  <si>
    <t>O0005</t>
  </si>
  <si>
    <t>Naveen</t>
  </si>
  <si>
    <t>O0006</t>
  </si>
  <si>
    <t>Priya</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</si>
  <si>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</si>
  <si>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</si>
  <si>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</si>
  <si>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</si>
  <si>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</si>
  <si>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</si>
  <si>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</si>
  <si>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</si>
  <si>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</si>
  <si>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</si>
  <si>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</si>
  <si>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</si>
  <si>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</si>
  <si>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</si>
  <si>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</si>
  <si>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</si>
  <si>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</si>
  <si>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</si>
  <si>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</si>
  <si>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</si>
  <si>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</si>
  <si>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</si>
  <si>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</si>
  <si>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</si>
  <si>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</si>
  <si>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</si>
  <si>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</si>
  <si>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</si>
  <si>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</si>
  <si>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</si>
  <si>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</si>
  <si>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</si>
  <si>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</si>
  <si>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</si>
  <si>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</si>
  <si>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</si>
  <si>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</si>
  <si>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</si>
  <si>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</si>
  <si>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</si>
  <si>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</si>
  <si>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</si>
  <si>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</si>
  <si>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</si>
  <si>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</si>
  <si>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</si>
  <si>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</si>
  <si>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</si>
  <si>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</si>
  <si>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</si>
  <si>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</si>
  <si>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</si>
  <si>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</si>
  <si>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</si>
  <si>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</si>
  <si>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</si>
  <si>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</si>
  <si>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</si>
  <si>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</si>
  <si>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</si>
  <si>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</si>
  <si>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</si>
  <si>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</si>
  <si>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</si>
  <si>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</si>
  <si>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</si>
  <si>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</si>
  <si>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</si>
  <si>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</si>
  <si>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</si>
  <si>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</si>
  <si>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</si>
  <si>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</si>
  <si>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</si>
  <si>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SESSION 3 - PIVOTTABLE BUSINESS ANALYSIS PRACTICE</t>
  </si>
  <si>
    <t>Exercise</t>
  </si>
  <si>
    <t>Rows</t>
  </si>
  <si>
    <t>Columns</t>
  </si>
  <si>
    <t>Values</t>
  </si>
  <si>
    <t>Filters / Action</t>
  </si>
  <si>
    <t>Business Question</t>
  </si>
  <si>
    <t>1</t>
  </si>
  <si>
    <t>Sum of Sales</t>
  </si>
  <si>
    <t>Which region sells the most?</t>
  </si>
  <si>
    <t>2</t>
  </si>
  <si>
    <t>Which category contributes most sales?</t>
  </si>
  <si>
    <t>3</t>
  </si>
  <si>
    <t>How do categories perform by region?</t>
  </si>
  <si>
    <t>4</t>
  </si>
  <si>
    <t>Average of Profit</t>
  </si>
  <si>
    <t>Which department has highest average profit?</t>
  </si>
  <si>
    <t>5</t>
  </si>
  <si>
    <t>Count of Order ID</t>
  </si>
  <si>
    <t>Who handles the most orders?</t>
  </si>
  <si>
    <t>6</t>
  </si>
  <si>
    <t>Group by Months</t>
  </si>
  <si>
    <t>How do sales change month by month?</t>
  </si>
  <si>
    <t>7</t>
  </si>
  <si>
    <t>Sort Largest to Smallest</t>
  </si>
  <si>
    <t>Rank regions by sales</t>
  </si>
  <si>
    <t>8</t>
  </si>
  <si>
    <t>Value Filters -&gt; Top 10 -&gt; Top 5</t>
  </si>
  <si>
    <t>Who are the top 5 salespeople?</t>
  </si>
  <si>
    <t>9</t>
  </si>
  <si>
    <t>Sum of Profit</t>
  </si>
  <si>
    <t>Filter Category</t>
  </si>
  <si>
    <t>Crosstab profitability analysis</t>
  </si>
  <si>
    <t>SESSION 3 - STUDENT TASKS</t>
  </si>
  <si>
    <t>Task</t>
  </si>
  <si>
    <t>Exact Path</t>
  </si>
  <si>
    <t>Build</t>
  </si>
  <si>
    <t>Expected Skill</t>
  </si>
  <si>
    <t>Select source -&gt; Insert -&gt; PivotTable -&gt; From Table/Range -&gt; New Worksheet -&gt; OK</t>
  </si>
  <si>
    <t>Region Sales Pivot</t>
  </si>
  <si>
    <t>Basic PivotTable</t>
  </si>
  <si>
    <t>PivotTable Fields -&gt; drag Region to Rows -&gt; Sales to Values</t>
  </si>
  <si>
    <t>Region total sales</t>
  </si>
  <si>
    <t>Rows + Values</t>
  </si>
  <si>
    <t>Drag Category to Columns</t>
  </si>
  <si>
    <t>Region x Category crosstab</t>
  </si>
  <si>
    <t>Value field dropdown -&gt; Value Field Settings -&gt; Average</t>
  </si>
  <si>
    <t>Average Profit</t>
  </si>
  <si>
    <t>Change aggregation</t>
  </si>
  <si>
    <t>Right-click a date -&gt; Group -&gt; Months -&gt; OK</t>
  </si>
  <si>
    <t>Monthly sales</t>
  </si>
  <si>
    <t>Date grouping</t>
  </si>
  <si>
    <t>Row Labels -&gt; Sort -&gt; Largest to Smallest</t>
  </si>
  <si>
    <t>Ranked sales</t>
  </si>
  <si>
    <t>Sorting</t>
  </si>
  <si>
    <t>Row Labels -&gt; Value Filters -&gt; Top 10 -&gt; Top 5</t>
  </si>
  <si>
    <t>Top 5 salespeople</t>
  </si>
  <si>
    <t>Top analysis</t>
  </si>
  <si>
    <t>Drag Category to Filters</t>
  </si>
  <si>
    <t>Interactive category filter</t>
  </si>
  <si>
    <t>Report filter</t>
  </si>
  <si>
    <t>Row Labels</t>
  </si>
  <si>
    <t>Grand Total</t>
  </si>
  <si>
    <t>Sum of Units</t>
  </si>
  <si>
    <t>Feb</t>
  </si>
  <si>
    <t>(All)</t>
  </si>
  <si>
    <t>Column Labels</t>
  </si>
  <si>
    <t>EMERALD GARMENTS</t>
  </si>
  <si>
    <t>z</t>
  </si>
  <si>
    <t>TOTAL SALES</t>
  </si>
  <si>
    <t>TOTAL PROFIT</t>
  </si>
  <si>
    <t>TOTAL UNITS SOLD</t>
  </si>
  <si>
    <t>CUSTOMER ID</t>
  </si>
  <si>
    <t>Jan</t>
  </si>
  <si>
    <t>Aug</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</si>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</sst>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_ [$₹-4009]\ * #,##0_ ;_ [$₹-4009]\ * \-#,##0_ ;_ [$₹-4009]\ * &quot;-&quot;??_ ;_ @_ "/>
  </numFmts>
  <fonts count="8">
    <font>
      <sz val="11"/>
      <name val="Carlito"/>
    </font>
    <font>
      <b/>
      <sz val="14"/>
      <color rgb="FFFFFFFF"/>
      <name val="Carlito"/>
    </font>
    <font>
      <b/>
      <sz val="11"/>
      <color rgb="FFFFFFFF"/>
      <name val="Carlito"/>
    </font>
    <font>
      <sz val="48"/>
      <color theme="0" tint="-0.34998626667073579"/>
      <name val="Carlito"/>
    </font>
    <font>
      <sz val="26"/>
      <name val="Carlito"/>
    </font>
    <font>
      <sz val="28"/>
      <name val="Carlito"/>
    </font>
    <font>
      <b/>
      <sz val="22"/>
      <name val="Carlito"/>
    </font>
    <font>
      <b/>
      <sz val="20"/>
      <name val="Carlito"/>
    </font>
  </fonts>
  <fills count="5">
    <fill>
      <patternFill patternType="none"/>
    </fill>
    <fill>
      <patternFill patternType="gray125"/>
    </fill>
    <fill>
      <patternFill patternType="solid">
        <fgColor rgb="FF123E63"/>
      </patternFill>
    </fill>
    <fill>
      <patternFill patternType="solid">
        <fgColor theme="7" tint="-0.499984740745262"/>
        <bgColor indexed="64"/>
      </patternFill>
    </fill>
    <fill>
      <patternFill patternType="solid">
        <fgColor theme="0" tint="-0.34998626667073579"/>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4">
    <xf numFmtId="0" fontId="0" fillId="0" borderId="0" xfId="0"/>
    <xf numFmtId="164" fontId="0" fillId="0" borderId="0" xfId="0" applyNumberFormat="1"/>
    <xf numFmtId="165" fontId="0" fillId="0" borderId="0" xfId="0" applyNumberFormat="1"/>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0" fillId="0" borderId="4" xfId="0" applyBorder="1"/>
    <xf numFmtId="0" fontId="0" fillId="0" borderId="5" xfId="0" applyBorder="1"/>
    <xf numFmtId="0" fontId="0" fillId="0" borderId="6" xfId="0" applyBorder="1"/>
    <xf numFmtId="164" fontId="0" fillId="0" borderId="7" xfId="0" applyNumberFormat="1" applyBorder="1"/>
    <xf numFmtId="0" fontId="0" fillId="0" borderId="7" xfId="0" applyBorder="1"/>
    <xf numFmtId="165" fontId="0" fillId="0" borderId="7" xfId="0" applyNumberFormat="1" applyBorder="1"/>
    <xf numFmtId="0" fontId="0" fillId="0" borderId="8" xfId="0" applyBorder="1"/>
    <xf numFmtId="0" fontId="0" fillId="0" borderId="4" xfId="0" applyBorder="1" applyAlignment="1">
      <alignment wrapText="1"/>
    </xf>
    <xf numFmtId="0" fontId="0" fillId="0" borderId="0" xfId="0"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6" fontId="0" fillId="0" borderId="0" xfId="0" applyNumberFormat="1"/>
    <xf numFmtId="0" fontId="0" fillId="3" borderId="0" xfId="0" applyFill="1"/>
    <xf numFmtId="165" fontId="0" fillId="3" borderId="0" xfId="0" applyNumberFormat="1" applyFill="1"/>
    <xf numFmtId="0" fontId="3" fillId="3" borderId="0" xfId="0" applyFont="1" applyFill="1" applyAlignment="1">
      <alignment horizontal="center"/>
    </xf>
    <xf numFmtId="0" fontId="0" fillId="3" borderId="0" xfId="0" applyFill="1" applyAlignment="1">
      <alignment horizontal="center"/>
    </xf>
    <xf numFmtId="0" fontId="6" fillId="4" borderId="8" xfId="0" applyFont="1" applyFill="1" applyBorder="1" applyAlignment="1">
      <alignment horizontal="center"/>
    </xf>
    <xf numFmtId="0" fontId="4" fillId="4" borderId="8" xfId="0" applyFont="1" applyFill="1" applyBorder="1" applyAlignment="1">
      <alignment horizontal="center" vertical="center"/>
    </xf>
    <xf numFmtId="0" fontId="6" fillId="4" borderId="0" xfId="0" applyFont="1" applyFill="1"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48">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 formatCode="0"/>
    </dxf>
    <dxf>
      <numFmt numFmtId="1" formatCode="0"/>
    </dxf>
    <dxf>
      <numFmt numFmtId="165" formatCode="\₹#,##0"/>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 formatCode="0"/>
    </dxf>
    <dxf>
      <numFmt numFmtId="1" formatCode="0"/>
    </dxf>
    <dxf>
      <numFmt numFmtId="165" formatCode="\₹#,##0"/>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 formatCode="0"/>
    </dxf>
    <dxf>
      <numFmt numFmtId="1" formatCode="0"/>
    </dxf>
    <dxf>
      <numFmt numFmtId="165" formatCode="\₹#,##0"/>
    </dxf>
    <dxf>
      <numFmt numFmtId="166" formatCode="_ [$₹-4009]\ * #,##0_ ;_ [$₹-4009]\ * \-#,##0_ ;_ [$₹-4009]\ * &quot;-&quot;??_ ;_ @_ "/>
    </dxf>
    <dxf>
      <numFmt numFmtId="166" formatCode="_ [$₹-4009]\ * #,##0_ ;_ [$₹-4009]\ * \-#,##0_ ;_ [$₹-4009]\ * &quot;-&quot;??_ ;_ @_ "/>
    </dxf>
    <dxf>
      <numFmt numFmtId="165" formatCode="\₹#,##0"/>
    </dxf>
    <dxf>
      <numFmt numFmtId="165" formatCode="\₹#,##0"/>
    </dxf>
    <dxf>
      <numFmt numFmtId="165" formatCode="\₹#,##0"/>
    </dxf>
    <dxf>
      <numFmt numFmtId="1" formatCode="0"/>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5" formatCode="\₹#,##0"/>
    </dxf>
    <dxf>
      <numFmt numFmtId="1" formatCode="0"/>
    </dxf>
    <dxf>
      <border>
        <left style="thin">
          <color rgb="FF9C0006"/>
        </left>
        <right style="thin">
          <color rgb="FF9C0006"/>
        </right>
        <top style="thin">
          <color rgb="FF9C0006"/>
        </top>
        <bottom style="thin">
          <color rgb="FF9C0006"/>
        </bottom>
      </border>
    </dxf>
  </dxfs>
  <tableStyles count="0" defaultTableStyle="TableStyleMedium2" defaultPivotStyle="PivotStyleLight16"/>
  <colors>
    <mruColors>
      <color rgb="FF2B2D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table!PivotTable1</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table'!$A$4:$A$8</c:f>
              <c:strCache>
                <c:ptCount val="4"/>
                <c:pt idx="0">
                  <c:v>Coimbatore</c:v>
                </c:pt>
                <c:pt idx="1">
                  <c:v>Erode</c:v>
                </c:pt>
                <c:pt idx="2">
                  <c:v>Namakkal</c:v>
                </c:pt>
                <c:pt idx="3">
                  <c:v>Salem</c:v>
                </c:pt>
              </c:strCache>
            </c:strRef>
          </c:cat>
          <c:val>
            <c:numRef>
              <c:f>'Pivot table'!$B$4:$B$8</c:f>
              <c:numCache>
                <c:formatCode>\₹#,##0</c:formatCode>
                <c:ptCount val="4"/>
                <c:pt idx="0">
                  <c:v>960000</c:v>
                </c:pt>
                <c:pt idx="1">
                  <c:v>967000</c:v>
                </c:pt>
                <c:pt idx="2">
                  <c:v>949000</c:v>
                </c:pt>
                <c:pt idx="3">
                  <c:v>978000</c:v>
                </c:pt>
              </c:numCache>
            </c:numRef>
          </c:val>
          <c:extLst>
            <c:ext xmlns:c16="http://schemas.microsoft.com/office/drawing/2014/chart" uri="{C3380CC4-5D6E-409C-BE32-E72D297353CC}">
              <c16:uniqueId val="{00000000-7AD6-4372-93A0-B95D995D3504}"/>
            </c:ext>
          </c:extLst>
        </c:ser>
        <c:dLbls>
          <c:dLblPos val="inEnd"/>
          <c:showLegendKey val="0"/>
          <c:showVal val="1"/>
          <c:showCatName val="0"/>
          <c:showSerName val="0"/>
          <c:showPercent val="0"/>
          <c:showBubbleSize val="0"/>
        </c:dLbls>
        <c:gapWidth val="41"/>
        <c:axId val="822073360"/>
        <c:axId val="822059216"/>
      </c:barChart>
      <c:catAx>
        <c:axId val="82207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2059216"/>
        <c:crosses val="autoZero"/>
        <c:auto val="1"/>
        <c:lblAlgn val="ctr"/>
        <c:lblOffset val="100"/>
        <c:noMultiLvlLbl val="0"/>
      </c:catAx>
      <c:valAx>
        <c:axId val="822059216"/>
        <c:scaling>
          <c:orientation val="minMax"/>
        </c:scaling>
        <c:delete val="1"/>
        <c:axPos val="l"/>
        <c:numFmt formatCode="\₹#,##0" sourceLinked="1"/>
        <c:majorTickMark val="none"/>
        <c:minorTickMark val="none"/>
        <c:tickLblPos val="nextTo"/>
        <c:crossAx val="8220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table'!$D$4:$D$8</c:f>
              <c:strCache>
                <c:ptCount val="4"/>
                <c:pt idx="0">
                  <c:v>Accessories</c:v>
                </c:pt>
                <c:pt idx="1">
                  <c:v>Laptop</c:v>
                </c:pt>
                <c:pt idx="2">
                  <c:v>Mobile</c:v>
                </c:pt>
                <c:pt idx="3">
                  <c:v>Service</c:v>
                </c:pt>
              </c:strCache>
            </c:strRef>
          </c:cat>
          <c:val>
            <c:numRef>
              <c:f>'Pivot table'!$E$4:$E$8</c:f>
              <c:numCache>
                <c:formatCode>\₹#,##0</c:formatCode>
                <c:ptCount val="4"/>
                <c:pt idx="0">
                  <c:v>960000</c:v>
                </c:pt>
                <c:pt idx="1">
                  <c:v>978000</c:v>
                </c:pt>
                <c:pt idx="2">
                  <c:v>967000</c:v>
                </c:pt>
                <c:pt idx="3">
                  <c:v>949000</c:v>
                </c:pt>
              </c:numCache>
            </c:numRef>
          </c:val>
          <c:smooth val="0"/>
          <c:extLst>
            <c:ext xmlns:c16="http://schemas.microsoft.com/office/drawing/2014/chart" uri="{C3380CC4-5D6E-409C-BE32-E72D297353CC}">
              <c16:uniqueId val="{00000000-C89D-4950-9A6A-83C1168DED44}"/>
            </c:ext>
          </c:extLst>
        </c:ser>
        <c:dLbls>
          <c:dLblPos val="ctr"/>
          <c:showLegendKey val="0"/>
          <c:showVal val="1"/>
          <c:showCatName val="0"/>
          <c:showSerName val="0"/>
          <c:showPercent val="0"/>
          <c:showBubbleSize val="0"/>
        </c:dLbls>
        <c:marker val="1"/>
        <c:smooth val="0"/>
        <c:axId val="822090416"/>
        <c:axId val="822091248"/>
      </c:lineChart>
      <c:catAx>
        <c:axId val="8220904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822091248"/>
        <c:crosses val="autoZero"/>
        <c:auto val="1"/>
        <c:lblAlgn val="ctr"/>
        <c:lblOffset val="100"/>
        <c:noMultiLvlLbl val="0"/>
      </c:catAx>
      <c:valAx>
        <c:axId val="822091248"/>
        <c:scaling>
          <c:orientation val="minMax"/>
        </c:scaling>
        <c:delete val="1"/>
        <c:axPos val="l"/>
        <c:numFmt formatCode="\₹#,##0" sourceLinked="1"/>
        <c:majorTickMark val="none"/>
        <c:minorTickMark val="none"/>
        <c:tickLblPos val="nextTo"/>
        <c:crossAx val="82209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 and category</a:t>
            </a:r>
          </a:p>
        </c:rich>
      </c:tx>
      <c:layout>
        <c:manualLayout>
          <c:xMode val="edge"/>
          <c:yMode val="edge"/>
          <c:x val="0.2245693350831146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1B-478C-A51E-5EFC5E6B22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1B-478C-A51E-5EFC5E6B22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1B-478C-A51E-5EFC5E6B22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1B-478C-A51E-5EFC5E6B22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 table'!$G$4:$G$12</c:f>
              <c:multiLvlStrCache>
                <c:ptCount val="4"/>
                <c:lvl>
                  <c:pt idx="0">
                    <c:v>Accessories</c:v>
                  </c:pt>
                  <c:pt idx="1">
                    <c:v>Mobile</c:v>
                  </c:pt>
                  <c:pt idx="2">
                    <c:v>Service</c:v>
                  </c:pt>
                  <c:pt idx="3">
                    <c:v>Laptop</c:v>
                  </c:pt>
                </c:lvl>
                <c:lvl>
                  <c:pt idx="0">
                    <c:v>Coimbatore</c:v>
                  </c:pt>
                  <c:pt idx="1">
                    <c:v>Erode</c:v>
                  </c:pt>
                  <c:pt idx="2">
                    <c:v>Namakkal</c:v>
                  </c:pt>
                  <c:pt idx="3">
                    <c:v>Salem</c:v>
                  </c:pt>
                </c:lvl>
              </c:multiLvlStrCache>
            </c:multiLvlStrRef>
          </c:cat>
          <c:val>
            <c:numRef>
              <c:f>'Pivot table'!$H$4:$H$12</c:f>
              <c:numCache>
                <c:formatCode>\₹#,##0</c:formatCode>
                <c:ptCount val="4"/>
                <c:pt idx="0">
                  <c:v>960000</c:v>
                </c:pt>
                <c:pt idx="1">
                  <c:v>967000</c:v>
                </c:pt>
                <c:pt idx="2">
                  <c:v>949000</c:v>
                </c:pt>
                <c:pt idx="3">
                  <c:v>978000</c:v>
                </c:pt>
              </c:numCache>
            </c:numRef>
          </c:val>
          <c:extLst>
            <c:ext xmlns:c16="http://schemas.microsoft.com/office/drawing/2014/chart" uri="{C3380CC4-5D6E-409C-BE32-E72D297353CC}">
              <c16:uniqueId val="{00000008-861B-478C-A51E-5EFC5E6B22E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Total Profit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 table'!$J$4:$J$7</c:f>
              <c:strCache>
                <c:ptCount val="3"/>
                <c:pt idx="0">
                  <c:v>Sales</c:v>
                </c:pt>
                <c:pt idx="1">
                  <c:v>Retail</c:v>
                </c:pt>
                <c:pt idx="2">
                  <c:v>Corporate</c:v>
                </c:pt>
              </c:strCache>
            </c:strRef>
          </c:cat>
          <c:val>
            <c:numRef>
              <c:f>'Pivot table'!$K$4:$K$7</c:f>
              <c:numCache>
                <c:formatCode>\₹#,##0</c:formatCode>
                <c:ptCount val="3"/>
                <c:pt idx="0">
                  <c:v>7729.5925925925922</c:v>
                </c:pt>
                <c:pt idx="1">
                  <c:v>7574.4074074074078</c:v>
                </c:pt>
                <c:pt idx="2">
                  <c:v>7407.5384615384619</c:v>
                </c:pt>
              </c:numCache>
            </c:numRef>
          </c:val>
          <c:extLst>
            <c:ext xmlns:c16="http://schemas.microsoft.com/office/drawing/2014/chart" uri="{C3380CC4-5D6E-409C-BE32-E72D297353CC}">
              <c16:uniqueId val="{00000000-E6C7-42A7-9FEE-A17D4F4BD1B6}"/>
            </c:ext>
          </c:extLst>
        </c:ser>
        <c:dLbls>
          <c:showLegendKey val="0"/>
          <c:showVal val="0"/>
          <c:showCatName val="0"/>
          <c:showSerName val="0"/>
          <c:showPercent val="0"/>
          <c:showBubbleSize val="0"/>
        </c:dLbls>
        <c:gapWidth val="150"/>
        <c:gapDepth val="0"/>
        <c:shape val="box"/>
        <c:axId val="831204320"/>
        <c:axId val="831203072"/>
        <c:axId val="0"/>
      </c:bar3DChart>
      <c:catAx>
        <c:axId val="83120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03072"/>
        <c:crosses val="autoZero"/>
        <c:auto val="1"/>
        <c:lblAlgn val="ctr"/>
        <c:lblOffset val="100"/>
        <c:noMultiLvlLbl val="0"/>
      </c:catAx>
      <c:valAx>
        <c:axId val="831203072"/>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0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table!PivotTable5</c:name>
    <c:fmtId val="1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Unit Sold by SalesPerson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92B-4022-935A-8DBBA3D8202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92B-4022-935A-8DBBA3D8202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92B-4022-935A-8DBBA3D8202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92B-4022-935A-8DBBA3D8202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92B-4022-935A-8DBBA3D8202A}"/>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92B-4022-935A-8DBBA3D8202A}"/>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92B-4022-935A-8DBBA3D8202A}"/>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92B-4022-935A-8DBBA3D8202A}"/>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92B-4022-935A-8DBBA3D8202A}"/>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92B-4022-935A-8DBBA3D8202A}"/>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92B-4022-935A-8DBBA3D8202A}"/>
                </c:ext>
              </c:extLst>
            </c:dLbl>
            <c:dLbl>
              <c:idx val="5"/>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592B-4022-935A-8DBBA3D8202A}"/>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table'!$M$4:$M$10</c:f>
              <c:strCache>
                <c:ptCount val="6"/>
                <c:pt idx="0">
                  <c:v>Arun</c:v>
                </c:pt>
                <c:pt idx="1">
                  <c:v>Divya</c:v>
                </c:pt>
                <c:pt idx="2">
                  <c:v>Kavin</c:v>
                </c:pt>
                <c:pt idx="3">
                  <c:v>Meena</c:v>
                </c:pt>
                <c:pt idx="4">
                  <c:v>Naveen</c:v>
                </c:pt>
                <c:pt idx="5">
                  <c:v>Priya</c:v>
                </c:pt>
              </c:strCache>
            </c:strRef>
          </c:cat>
          <c:val>
            <c:numRef>
              <c:f>'Pivot table'!$N$4:$N$10</c:f>
              <c:numCache>
                <c:formatCode>0</c:formatCode>
                <c:ptCount val="6"/>
                <c:pt idx="0">
                  <c:v>106</c:v>
                </c:pt>
                <c:pt idx="1">
                  <c:v>107</c:v>
                </c:pt>
                <c:pt idx="2">
                  <c:v>104</c:v>
                </c:pt>
                <c:pt idx="3">
                  <c:v>104</c:v>
                </c:pt>
                <c:pt idx="4">
                  <c:v>104</c:v>
                </c:pt>
                <c:pt idx="5">
                  <c:v>104</c:v>
                </c:pt>
              </c:numCache>
            </c:numRef>
          </c:val>
          <c:extLst>
            <c:ext xmlns:c16="http://schemas.microsoft.com/office/drawing/2014/chart" uri="{C3380CC4-5D6E-409C-BE32-E72D297353CC}">
              <c16:uniqueId val="{0000000C-592B-4022-935A-8DBBA3D8202A}"/>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table'!$P$4:$P$12</c:f>
              <c:strCache>
                <c:ptCount val="8"/>
                <c:pt idx="0">
                  <c:v>Jan</c:v>
                </c:pt>
                <c:pt idx="1">
                  <c:v>Feb</c:v>
                </c:pt>
                <c:pt idx="2">
                  <c:v>Mar</c:v>
                </c:pt>
                <c:pt idx="3">
                  <c:v>Apr</c:v>
                </c:pt>
                <c:pt idx="4">
                  <c:v>May</c:v>
                </c:pt>
                <c:pt idx="5">
                  <c:v>Jun</c:v>
                </c:pt>
                <c:pt idx="6">
                  <c:v>Jul</c:v>
                </c:pt>
                <c:pt idx="7">
                  <c:v>Aug</c:v>
                </c:pt>
              </c:strCache>
            </c:strRef>
          </c:cat>
          <c:val>
            <c:numRef>
              <c:f>'Pivot table'!$Q$4:$Q$12</c:f>
              <c:numCache>
                <c:formatCode>_ [$₹-4009]\ * #,##0_ ;_ [$₹-4009]\ * \-#,##0_ ;_ [$₹-4009]\ * "-"??_ ;_ @_ </c:formatCode>
                <c:ptCount val="8"/>
                <c:pt idx="0">
                  <c:v>501500</c:v>
                </c:pt>
                <c:pt idx="1">
                  <c:v>369000</c:v>
                </c:pt>
                <c:pt idx="2">
                  <c:v>458500</c:v>
                </c:pt>
                <c:pt idx="3">
                  <c:v>474000</c:v>
                </c:pt>
                <c:pt idx="4">
                  <c:v>545500</c:v>
                </c:pt>
                <c:pt idx="5">
                  <c:v>500500</c:v>
                </c:pt>
                <c:pt idx="6">
                  <c:v>516000</c:v>
                </c:pt>
                <c:pt idx="7">
                  <c:v>489000</c:v>
                </c:pt>
              </c:numCache>
            </c:numRef>
          </c:val>
          <c:extLst>
            <c:ext xmlns:c16="http://schemas.microsoft.com/office/drawing/2014/chart" uri="{C3380CC4-5D6E-409C-BE32-E72D297353CC}">
              <c16:uniqueId val="{00000000-82C2-44B5-A8E2-099414249D64}"/>
            </c:ext>
          </c:extLst>
        </c:ser>
        <c:dLbls>
          <c:dLblPos val="outEnd"/>
          <c:showLegendKey val="0"/>
          <c:showVal val="1"/>
          <c:showCatName val="0"/>
          <c:showSerName val="0"/>
          <c:showPercent val="0"/>
          <c:showBubbleSize val="0"/>
        </c:dLbls>
        <c:gapWidth val="227"/>
        <c:overlap val="-48"/>
        <c:axId val="822078768"/>
        <c:axId val="822063376"/>
      </c:barChart>
      <c:catAx>
        <c:axId val="82207876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63376"/>
        <c:crosses val="autoZero"/>
        <c:auto val="1"/>
        <c:lblAlgn val="ctr"/>
        <c:lblOffset val="100"/>
        <c:noMultiLvlLbl val="0"/>
      </c:catAx>
      <c:valAx>
        <c:axId val="822063376"/>
        <c:scaling>
          <c:orientation val="minMax"/>
        </c:scaling>
        <c:delete val="1"/>
        <c:axPos val="b"/>
        <c:numFmt formatCode="_ [$₹-4009]\ * #,##0_ ;_ [$₹-4009]\ * \-#,##0_ ;_ [$₹-4009]\ * &quot;-&quot;??_ ;_ @_ " sourceLinked="1"/>
        <c:majorTickMark val="none"/>
        <c:minorTickMark val="none"/>
        <c:tickLblPos val="nextTo"/>
        <c:crossAx val="82207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table'!$T$3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DF-4E37-B53F-E0826F1F95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DF-4E37-B53F-E0826F1F95A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ADF-4E37-B53F-E0826F1F95A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ADF-4E37-B53F-E0826F1F95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table'!$S$4:$S$8</c:f>
              <c:strCache>
                <c:ptCount val="4"/>
                <c:pt idx="0">
                  <c:v>Coimbatore</c:v>
                </c:pt>
                <c:pt idx="1">
                  <c:v>Erode</c:v>
                </c:pt>
                <c:pt idx="2">
                  <c:v>Namakkal</c:v>
                </c:pt>
                <c:pt idx="3">
                  <c:v>Salem</c:v>
                </c:pt>
              </c:strCache>
            </c:strRef>
          </c:cat>
          <c:val>
            <c:numRef>
              <c:f>'Pivot table'!$T$4:$T$8</c:f>
              <c:numCache>
                <c:formatCode>_ [$₹-4009]\ * #,##0_ ;_ [$₹-4009]\ * \-#,##0_ ;_ [$₹-4009]\ * "-"??_ ;_ @_ </c:formatCode>
                <c:ptCount val="4"/>
                <c:pt idx="0">
                  <c:v>960000</c:v>
                </c:pt>
                <c:pt idx="1">
                  <c:v>967000</c:v>
                </c:pt>
                <c:pt idx="2">
                  <c:v>949000</c:v>
                </c:pt>
                <c:pt idx="3">
                  <c:v>978000</c:v>
                </c:pt>
              </c:numCache>
            </c:numRef>
          </c:val>
          <c:extLst>
            <c:ext xmlns:c16="http://schemas.microsoft.com/office/drawing/2014/chart" uri="{C3380CC4-5D6E-409C-BE32-E72D297353CC}">
              <c16:uniqueId val="{00000008-BADF-4E37-B53F-E0826F1F95A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table!PivotTable8</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5 Sales By Salesperson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table'!$W$3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table'!$V$4:$V$10</c:f>
              <c:strCache>
                <c:ptCount val="6"/>
                <c:pt idx="0">
                  <c:v>Arun</c:v>
                </c:pt>
                <c:pt idx="1">
                  <c:v>Divya</c:v>
                </c:pt>
                <c:pt idx="2">
                  <c:v>Kavin</c:v>
                </c:pt>
                <c:pt idx="3">
                  <c:v>Meena</c:v>
                </c:pt>
                <c:pt idx="4">
                  <c:v>Naveen</c:v>
                </c:pt>
                <c:pt idx="5">
                  <c:v>Priya</c:v>
                </c:pt>
              </c:strCache>
            </c:strRef>
          </c:cat>
          <c:val>
            <c:numRef>
              <c:f>'Pivot table'!$W$4:$W$10</c:f>
              <c:numCache>
                <c:formatCode>_ [$₹-4009]\ * #,##0_ ;_ [$₹-4009]\ * \-#,##0_ ;_ [$₹-4009]\ * "-"??_ ;_ @_ </c:formatCode>
                <c:ptCount val="6"/>
                <c:pt idx="0">
                  <c:v>642000</c:v>
                </c:pt>
                <c:pt idx="1">
                  <c:v>658500</c:v>
                </c:pt>
                <c:pt idx="2">
                  <c:v>635500</c:v>
                </c:pt>
                <c:pt idx="3">
                  <c:v>646500</c:v>
                </c:pt>
                <c:pt idx="4">
                  <c:v>660500</c:v>
                </c:pt>
                <c:pt idx="5">
                  <c:v>611000</c:v>
                </c:pt>
              </c:numCache>
            </c:numRef>
          </c:val>
          <c:extLst>
            <c:ext xmlns:c16="http://schemas.microsoft.com/office/drawing/2014/chart" uri="{C3380CC4-5D6E-409C-BE32-E72D297353CC}">
              <c16:uniqueId val="{00000000-5417-4C08-B0FB-52E9359CC2C0}"/>
            </c:ext>
          </c:extLst>
        </c:ser>
        <c:dLbls>
          <c:showLegendKey val="0"/>
          <c:showVal val="1"/>
          <c:showCatName val="0"/>
          <c:showSerName val="0"/>
          <c:showPercent val="0"/>
          <c:showBubbleSize val="0"/>
        </c:dLbls>
        <c:gapWidth val="150"/>
        <c:gapDepth val="0"/>
        <c:shape val="box"/>
        <c:axId val="454711872"/>
        <c:axId val="491197712"/>
        <c:axId val="0"/>
      </c:bar3DChart>
      <c:catAx>
        <c:axId val="45471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97712"/>
        <c:crosses val="autoZero"/>
        <c:auto val="1"/>
        <c:lblAlgn val="ctr"/>
        <c:lblOffset val="100"/>
        <c:noMultiLvlLbl val="0"/>
      </c:catAx>
      <c:valAx>
        <c:axId val="491197712"/>
        <c:scaling>
          <c:orientation val="minMax"/>
        </c:scaling>
        <c:delete val="1"/>
        <c:axPos val="b"/>
        <c:majorGridlines>
          <c:spPr>
            <a:ln w="9525" cap="flat" cmpd="sng" algn="ctr">
              <a:solidFill>
                <a:schemeClr val="tx1">
                  <a:lumMod val="5000"/>
                  <a:lumOff val="95000"/>
                </a:schemeClr>
              </a:solidFill>
              <a:round/>
            </a:ln>
            <a:effectLst/>
          </c:spPr>
        </c:majorGridlines>
        <c:numFmt formatCode="_ [$₹-4009]\ * #,##0_ ;_ [$₹-4009]\ * \-#,##0_ ;_ [$₹-4009]\ * &quot;-&quot;??_ ;_ @_ " sourceLinked="1"/>
        <c:majorTickMark val="none"/>
        <c:minorTickMark val="none"/>
        <c:tickLblPos val="nextTo"/>
        <c:crossAx val="454711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Dashboard.xlsx]Pivot table!PivotTable9</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table'!$Z$3:$Z$4</c:f>
              <c:strCache>
                <c:ptCount val="1"/>
                <c:pt idx="0">
                  <c:v>Corporate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table'!$Y$5:$Y$9</c:f>
              <c:strCache>
                <c:ptCount val="4"/>
                <c:pt idx="0">
                  <c:v>Coimbatore</c:v>
                </c:pt>
                <c:pt idx="1">
                  <c:v>Erode</c:v>
                </c:pt>
                <c:pt idx="2">
                  <c:v>Namakkal</c:v>
                </c:pt>
                <c:pt idx="3">
                  <c:v>Salem</c:v>
                </c:pt>
              </c:strCache>
            </c:strRef>
          </c:cat>
          <c:val>
            <c:numRef>
              <c:f>'Pivot table'!$Z$5:$Z$9</c:f>
              <c:numCache>
                <c:formatCode>_ [$₹-4009]\ * #,##0_ ;_ [$₹-4009]\ * \-#,##0_ ;_ [$₹-4009]\ * "-"??_ ;_ @_ </c:formatCode>
                <c:ptCount val="4"/>
                <c:pt idx="0">
                  <c:v>58221</c:v>
                </c:pt>
                <c:pt idx="1">
                  <c:v>57779</c:v>
                </c:pt>
                <c:pt idx="2">
                  <c:v>41436</c:v>
                </c:pt>
                <c:pt idx="3">
                  <c:v>35160</c:v>
                </c:pt>
              </c:numCache>
            </c:numRef>
          </c:val>
          <c:extLst>
            <c:ext xmlns:c16="http://schemas.microsoft.com/office/drawing/2014/chart" uri="{C3380CC4-5D6E-409C-BE32-E72D297353CC}">
              <c16:uniqueId val="{00000000-4B67-478E-964C-499BD5A3344C}"/>
            </c:ext>
          </c:extLst>
        </c:ser>
        <c:ser>
          <c:idx val="1"/>
          <c:order val="1"/>
          <c:tx>
            <c:strRef>
              <c:f>'Pivot table'!$AA$3:$AA$4</c:f>
              <c:strCache>
                <c:ptCount val="1"/>
                <c:pt idx="0">
                  <c:v>Retail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table'!$Y$5:$Y$9</c:f>
              <c:strCache>
                <c:ptCount val="4"/>
                <c:pt idx="0">
                  <c:v>Coimbatore</c:v>
                </c:pt>
                <c:pt idx="1">
                  <c:v>Erode</c:v>
                </c:pt>
                <c:pt idx="2">
                  <c:v>Namakkal</c:v>
                </c:pt>
                <c:pt idx="3">
                  <c:v>Salem</c:v>
                </c:pt>
              </c:strCache>
            </c:strRef>
          </c:cat>
          <c:val>
            <c:numRef>
              <c:f>'Pivot table'!$AA$5:$AA$9</c:f>
              <c:numCache>
                <c:formatCode>_ [$₹-4009]\ * #,##0_ ;_ [$₹-4009]\ * \-#,##0_ ;_ [$₹-4009]\ * "-"??_ ;_ @_ </c:formatCode>
                <c:ptCount val="4"/>
                <c:pt idx="0">
                  <c:v>40795</c:v>
                </c:pt>
                <c:pt idx="1">
                  <c:v>43933</c:v>
                </c:pt>
                <c:pt idx="2">
                  <c:v>69321</c:v>
                </c:pt>
                <c:pt idx="3">
                  <c:v>50460</c:v>
                </c:pt>
              </c:numCache>
            </c:numRef>
          </c:val>
          <c:extLst>
            <c:ext xmlns:c16="http://schemas.microsoft.com/office/drawing/2014/chart" uri="{C3380CC4-5D6E-409C-BE32-E72D297353CC}">
              <c16:uniqueId val="{00000001-78A0-4271-AF75-63C73E009A09}"/>
            </c:ext>
          </c:extLst>
        </c:ser>
        <c:ser>
          <c:idx val="2"/>
          <c:order val="2"/>
          <c:tx>
            <c:strRef>
              <c:f>'Pivot table'!$AB$3:$AB$4</c:f>
              <c:strCache>
                <c:ptCount val="1"/>
                <c:pt idx="0">
                  <c:v>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table'!$Y$5:$Y$9</c:f>
              <c:strCache>
                <c:ptCount val="4"/>
                <c:pt idx="0">
                  <c:v>Coimbatore</c:v>
                </c:pt>
                <c:pt idx="1">
                  <c:v>Erode</c:v>
                </c:pt>
                <c:pt idx="2">
                  <c:v>Namakkal</c:v>
                </c:pt>
                <c:pt idx="3">
                  <c:v>Salem</c:v>
                </c:pt>
              </c:strCache>
            </c:strRef>
          </c:cat>
          <c:val>
            <c:numRef>
              <c:f>'Pivot table'!$AB$5:$AB$9</c:f>
              <c:numCache>
                <c:formatCode>_ [$₹-4009]\ * #,##0_ ;_ [$₹-4009]\ * \-#,##0_ ;_ [$₹-4009]\ * "-"??_ ;_ @_ </c:formatCode>
                <c:ptCount val="4"/>
                <c:pt idx="0">
                  <c:v>64170</c:v>
                </c:pt>
                <c:pt idx="1">
                  <c:v>38496</c:v>
                </c:pt>
                <c:pt idx="2">
                  <c:v>74293</c:v>
                </c:pt>
                <c:pt idx="3">
                  <c:v>31740</c:v>
                </c:pt>
              </c:numCache>
            </c:numRef>
          </c:val>
          <c:extLst>
            <c:ext xmlns:c16="http://schemas.microsoft.com/office/drawing/2014/chart" uri="{C3380CC4-5D6E-409C-BE32-E72D297353CC}">
              <c16:uniqueId val="{00000002-78A0-4271-AF75-63C73E009A09}"/>
            </c:ext>
          </c:extLst>
        </c:ser>
        <c:dLbls>
          <c:showLegendKey val="0"/>
          <c:showVal val="0"/>
          <c:showCatName val="0"/>
          <c:showSerName val="0"/>
          <c:showPercent val="0"/>
          <c:showBubbleSize val="0"/>
        </c:dLbls>
        <c:gapWidth val="100"/>
        <c:overlap val="-24"/>
        <c:axId val="1030734064"/>
        <c:axId val="1030730320"/>
      </c:barChart>
      <c:catAx>
        <c:axId val="1030734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730320"/>
        <c:crosses val="autoZero"/>
        <c:auto val="1"/>
        <c:lblAlgn val="ctr"/>
        <c:lblOffset val="100"/>
        <c:noMultiLvlLbl val="0"/>
      </c:catAx>
      <c:valAx>
        <c:axId val="1030730320"/>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73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jp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24</xdr:col>
      <xdr:colOff>311642</xdr:colOff>
      <xdr:row>22</xdr:row>
      <xdr:rowOff>127000</xdr:rowOff>
    </xdr:from>
    <xdr:to>
      <xdr:col>30</xdr:col>
      <xdr:colOff>317992</xdr:colOff>
      <xdr:row>35</xdr:row>
      <xdr:rowOff>126374</xdr:rowOff>
    </xdr:to>
    <xdr:graphicFrame macro="">
      <xdr:nvGraphicFramePr>
        <xdr:cNvPr id="2" name="Chart 1">
          <a:extLst>
            <a:ext uri="{FF2B5EF4-FFF2-40B4-BE49-F238E27FC236}">
              <a16:creationId xmlns:a16="http://schemas.microsoft.com/office/drawing/2014/main" id="{4737C9FE-EF15-4D39-9D4C-301A879E4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525440</xdr:colOff>
      <xdr:row>23</xdr:row>
      <xdr:rowOff>15876</xdr:rowOff>
    </xdr:from>
    <xdr:to>
      <xdr:col>10</xdr:col>
      <xdr:colOff>538140</xdr:colOff>
      <xdr:row>35</xdr:row>
      <xdr:rowOff>171096</xdr:rowOff>
    </xdr:to>
    <xdr:graphicFrame macro="">
      <xdr:nvGraphicFramePr>
        <xdr:cNvPr id="3" name="Chart 2">
          <a:extLst>
            <a:ext uri="{FF2B5EF4-FFF2-40B4-BE49-F238E27FC236}">
              <a16:creationId xmlns:a16="http://schemas.microsoft.com/office/drawing/2014/main" id="{3F69BDA0-9371-4637-B412-646B7C4ED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307886</xdr:colOff>
      <xdr:row>37</xdr:row>
      <xdr:rowOff>54779</xdr:rowOff>
    </xdr:from>
    <xdr:to>
      <xdr:col>7</xdr:col>
      <xdr:colOff>326936</xdr:colOff>
      <xdr:row>50</xdr:row>
      <xdr:rowOff>63723</xdr:rowOff>
    </xdr:to>
    <xdr:graphicFrame macro="">
      <xdr:nvGraphicFramePr>
        <xdr:cNvPr id="4" name="Chart 3">
          <a:extLst>
            <a:ext uri="{FF2B5EF4-FFF2-40B4-BE49-F238E27FC236}">
              <a16:creationId xmlns:a16="http://schemas.microsoft.com/office/drawing/2014/main" id="{BD56BA1C-A4D0-43AD-BD4F-865376E1D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44271</xdr:colOff>
      <xdr:row>37</xdr:row>
      <xdr:rowOff>29960</xdr:rowOff>
    </xdr:from>
    <xdr:to>
      <xdr:col>14</xdr:col>
      <xdr:colOff>36490</xdr:colOff>
      <xdr:row>50</xdr:row>
      <xdr:rowOff>79375</xdr:rowOff>
    </xdr:to>
    <xdr:graphicFrame macro="">
      <xdr:nvGraphicFramePr>
        <xdr:cNvPr id="5" name="Chart 4">
          <a:extLst>
            <a:ext uri="{FF2B5EF4-FFF2-40B4-BE49-F238E27FC236}">
              <a16:creationId xmlns:a16="http://schemas.microsoft.com/office/drawing/2014/main" id="{0027ED3E-C0AF-4142-A8DB-E4F37E63A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211920</xdr:colOff>
      <xdr:row>23</xdr:row>
      <xdr:rowOff>15876</xdr:rowOff>
    </xdr:from>
    <xdr:to>
      <xdr:col>17</xdr:col>
      <xdr:colOff>245101</xdr:colOff>
      <xdr:row>35</xdr:row>
      <xdr:rowOff>158750</xdr:rowOff>
    </xdr:to>
    <xdr:graphicFrame macro="">
      <xdr:nvGraphicFramePr>
        <xdr:cNvPr id="6" name="Chart 5">
          <a:extLst>
            <a:ext uri="{FF2B5EF4-FFF2-40B4-BE49-F238E27FC236}">
              <a16:creationId xmlns:a16="http://schemas.microsoft.com/office/drawing/2014/main" id="{001DF1B8-416B-4A39-82D5-B28644723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363158</xdr:colOff>
      <xdr:row>37</xdr:row>
      <xdr:rowOff>36311</xdr:rowOff>
    </xdr:from>
    <xdr:to>
      <xdr:col>20</xdr:col>
      <xdr:colOff>396339</xdr:colOff>
      <xdr:row>50</xdr:row>
      <xdr:rowOff>49011</xdr:rowOff>
    </xdr:to>
    <xdr:graphicFrame macro="">
      <xdr:nvGraphicFramePr>
        <xdr:cNvPr id="7" name="Chart 6">
          <a:extLst>
            <a:ext uri="{FF2B5EF4-FFF2-40B4-BE49-F238E27FC236}">
              <a16:creationId xmlns:a16="http://schemas.microsoft.com/office/drawing/2014/main" id="{7D774646-5E03-4999-95A8-A76BA8DB4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80805</xdr:colOff>
      <xdr:row>37</xdr:row>
      <xdr:rowOff>20435</xdr:rowOff>
    </xdr:from>
    <xdr:to>
      <xdr:col>27</xdr:col>
      <xdr:colOff>106205</xdr:colOff>
      <xdr:row>50</xdr:row>
      <xdr:rowOff>39485</xdr:rowOff>
    </xdr:to>
    <xdr:graphicFrame macro="">
      <xdr:nvGraphicFramePr>
        <xdr:cNvPr id="8" name="Chart 7">
          <a:extLst>
            <a:ext uri="{FF2B5EF4-FFF2-40B4-BE49-F238E27FC236}">
              <a16:creationId xmlns:a16="http://schemas.microsoft.com/office/drawing/2014/main" id="{BFB4A62E-4742-4691-B68D-1A7B5B223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3571</xdr:colOff>
      <xdr:row>22</xdr:row>
      <xdr:rowOff>142876</xdr:rowOff>
    </xdr:from>
    <xdr:to>
      <xdr:col>24</xdr:col>
      <xdr:colOff>46731</xdr:colOff>
      <xdr:row>35</xdr:row>
      <xdr:rowOff>129237</xdr:rowOff>
    </xdr:to>
    <xdr:graphicFrame macro="">
      <xdr:nvGraphicFramePr>
        <xdr:cNvPr id="9" name="Chart 8">
          <a:extLst>
            <a:ext uri="{FF2B5EF4-FFF2-40B4-BE49-F238E27FC236}">
              <a16:creationId xmlns:a16="http://schemas.microsoft.com/office/drawing/2014/main" id="{D59D1FB8-2B86-4662-972F-ABE5EEA85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79963</xdr:colOff>
      <xdr:row>1</xdr:row>
      <xdr:rowOff>57149</xdr:rowOff>
    </xdr:from>
    <xdr:to>
      <xdr:col>33</xdr:col>
      <xdr:colOff>492713</xdr:colOff>
      <xdr:row>9</xdr:row>
      <xdr:rowOff>142874</xdr:rowOff>
    </xdr:to>
    <xdr:sp macro="" textlink="">
      <xdr:nvSpPr>
        <xdr:cNvPr id="20" name="Rectangle: Diagonal Corners Rounded 19">
          <a:extLst>
            <a:ext uri="{FF2B5EF4-FFF2-40B4-BE49-F238E27FC236}">
              <a16:creationId xmlns:a16="http://schemas.microsoft.com/office/drawing/2014/main" id="{52AA80A6-0749-4B24-A287-03E9FE55833B}"/>
            </a:ext>
          </a:extLst>
        </xdr:cNvPr>
        <xdr:cNvSpPr/>
      </xdr:nvSpPr>
      <xdr:spPr>
        <a:xfrm>
          <a:off x="2714037" y="245297"/>
          <a:ext cx="19650898" cy="1590910"/>
        </a:xfrm>
        <a:prstGeom prst="round2DiagRect">
          <a:avLst>
            <a:gd name="adj1" fmla="val 50000"/>
            <a:gd name="adj2" fmla="val 0"/>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600" b="1" cap="none" spc="0">
              <a:ln w="22225">
                <a:solidFill>
                  <a:schemeClr val="accent2"/>
                </a:solidFill>
                <a:prstDash val="solid"/>
              </a:ln>
              <a:solidFill>
                <a:schemeClr val="accent1">
                  <a:lumMod val="50000"/>
                </a:schemeClr>
              </a:solidFill>
              <a:effectLst/>
            </a:rPr>
            <a:t>EMERALD</a:t>
          </a:r>
          <a:r>
            <a:rPr lang="en-IN" sz="6600" b="1" cap="none" spc="0" baseline="0">
              <a:ln w="22225">
                <a:solidFill>
                  <a:schemeClr val="accent2"/>
                </a:solidFill>
                <a:prstDash val="solid"/>
              </a:ln>
              <a:solidFill>
                <a:schemeClr val="accent1">
                  <a:lumMod val="50000"/>
                </a:schemeClr>
              </a:solidFill>
              <a:effectLst/>
            </a:rPr>
            <a:t> GARMENTS</a:t>
          </a:r>
          <a:endParaRPr lang="en-IN" sz="6600" b="1" cap="none" spc="0">
            <a:ln w="22225">
              <a:solidFill>
                <a:schemeClr val="accent2"/>
              </a:solidFill>
              <a:prstDash val="solid"/>
            </a:ln>
            <a:solidFill>
              <a:schemeClr val="accent1">
                <a:lumMod val="50000"/>
              </a:schemeClr>
            </a:solidFill>
            <a:effectLst/>
          </a:endParaRPr>
        </a:p>
      </xdr:txBody>
    </xdr:sp>
    <xdr:clientData/>
  </xdr:twoCellAnchor>
  <xdr:twoCellAnchor>
    <xdr:from>
      <xdr:col>27</xdr:col>
      <xdr:colOff>470660</xdr:colOff>
      <xdr:row>36</xdr:row>
      <xdr:rowOff>165904</xdr:rowOff>
    </xdr:from>
    <xdr:to>
      <xdr:col>34</xdr:col>
      <xdr:colOff>291787</xdr:colOff>
      <xdr:row>50</xdr:row>
      <xdr:rowOff>15875</xdr:rowOff>
    </xdr:to>
    <xdr:graphicFrame macro="">
      <xdr:nvGraphicFramePr>
        <xdr:cNvPr id="10" name="Chart 9">
          <a:extLst>
            <a:ext uri="{FF2B5EF4-FFF2-40B4-BE49-F238E27FC236}">
              <a16:creationId xmlns:a16="http://schemas.microsoft.com/office/drawing/2014/main" id="{CFD204BD-5627-4D0B-9878-0117EB961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222788</xdr:colOff>
      <xdr:row>19</xdr:row>
      <xdr:rowOff>41813</xdr:rowOff>
    </xdr:from>
    <xdr:to>
      <xdr:col>4</xdr:col>
      <xdr:colOff>365126</xdr:colOff>
      <xdr:row>36</xdr:row>
      <xdr:rowOff>15875</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C0088C19-D66E-4C1A-BD8D-5ABD4F062BC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81307" y="3616628"/>
              <a:ext cx="2117893" cy="3172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47037</xdr:colOff>
      <xdr:row>1</xdr:row>
      <xdr:rowOff>70555</xdr:rowOff>
    </xdr:from>
    <xdr:to>
      <xdr:col>5</xdr:col>
      <xdr:colOff>549863</xdr:colOff>
      <xdr:row>9</xdr:row>
      <xdr:rowOff>164629</xdr:rowOff>
    </xdr:to>
    <xdr:pic>
      <xdr:nvPicPr>
        <xdr:cNvPr id="29" name="Picture 28">
          <a:extLst>
            <a:ext uri="{FF2B5EF4-FFF2-40B4-BE49-F238E27FC236}">
              <a16:creationId xmlns:a16="http://schemas.microsoft.com/office/drawing/2014/main" id="{BAC3C98F-660E-4D7C-803B-3181F6C9C4D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05556" y="258703"/>
          <a:ext cx="3136900" cy="15992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5.601225694445" createdVersion="7" refreshedVersion="7" minRefreshableVersion="3" recordCount="80" xr:uid="{3452B5F6-903B-496E-B7C6-A72F58B36AD7}">
  <cacheSource type="worksheet">
    <worksheetSource name="PivotSourceTable"/>
  </cacheSource>
  <cacheFields count="10">
    <cacheField name="Order ID" numFmtId="0">
      <sharedItems/>
    </cacheField>
    <cacheField name="Order Date" numFmtId="164">
      <sharedItems containsSemiMixedTypes="0" containsNonDate="0" containsDate="1" containsString="0" minDate="2026-01-01T00:00:00" maxDate="2026-08-27T00:00:00" count="80">
        <d v="2026-01-01T00:00:00"/>
        <d v="2026-01-04T00:00:00"/>
        <d v="2026-01-07T00:00:00"/>
        <d v="2026-01-10T00:00:00"/>
        <d v="2026-01-13T00:00:00"/>
        <d v="2026-01-16T00:00:00"/>
        <d v="2026-01-19T00:00:00"/>
        <d v="2026-01-22T00:00:00"/>
        <d v="2026-01-25T00:00:00"/>
        <d v="2026-01-28T00:00:00"/>
        <d v="2026-01-31T00:00:00"/>
        <d v="2026-02-03T00:00:00"/>
        <d v="2026-02-06T00:00:00"/>
        <d v="2026-02-09T00:00:00"/>
        <d v="2026-02-12T00:00:00"/>
        <d v="2026-02-15T00:00:00"/>
        <d v="2026-02-18T00:00:00"/>
        <d v="2026-02-21T00:00:00"/>
        <d v="2026-02-24T00:00:00"/>
        <d v="2026-02-27T00:00:00"/>
        <d v="2026-03-02T00:00:00"/>
        <d v="2026-03-05T00:00:00"/>
        <d v="2026-03-08T00:00:00"/>
        <d v="2026-03-11T00:00:00"/>
        <d v="2026-03-14T00:00:00"/>
        <d v="2026-03-17T00:00:00"/>
        <d v="2026-03-20T00:00:00"/>
        <d v="2026-03-23T00:00:00"/>
        <d v="2026-03-26T00:00:00"/>
        <d v="2026-03-29T00:00:00"/>
        <d v="2026-04-01T00:00:00"/>
        <d v="2026-04-04T00:00:00"/>
        <d v="2026-04-07T00:00:00"/>
        <d v="2026-04-10T00:00:00"/>
        <d v="2026-04-13T00:00:00"/>
        <d v="2026-04-16T00:00:00"/>
        <d v="2026-04-19T00:00:00"/>
        <d v="2026-04-22T00:00:00"/>
        <d v="2026-04-25T00:00:00"/>
        <d v="2026-04-28T00:00:00"/>
        <d v="2026-05-01T00:00:00"/>
        <d v="2026-05-04T00:00:00"/>
        <d v="2026-05-07T00:00:00"/>
        <d v="2026-05-10T00:00:00"/>
        <d v="2026-05-13T00:00:00"/>
        <d v="2026-05-16T00:00:00"/>
        <d v="2026-05-19T00:00:00"/>
        <d v="2026-05-22T00:00:00"/>
        <d v="2026-05-25T00:00:00"/>
        <d v="2026-05-28T00:00:00"/>
        <d v="2026-05-31T00:00:00"/>
        <d v="2026-06-03T00:00:00"/>
        <d v="2026-06-06T00:00:00"/>
        <d v="2026-06-09T00:00:00"/>
        <d v="2026-06-12T00:00:00"/>
        <d v="2026-06-15T00:00:00"/>
        <d v="2026-06-18T00:00:00"/>
        <d v="2026-06-21T00:00:00"/>
        <d v="2026-06-24T00:00:00"/>
        <d v="2026-06-27T00:00:00"/>
        <d v="2026-06-30T00:00:00"/>
        <d v="2026-07-03T00:00:00"/>
        <d v="2026-07-06T00:00:00"/>
        <d v="2026-07-09T00:00:00"/>
        <d v="2026-07-12T00:00:00"/>
        <d v="2026-07-15T00:00:00"/>
        <d v="2026-07-18T00:00:00"/>
        <d v="2026-07-21T00:00:00"/>
        <d v="2026-07-24T00:00:00"/>
        <d v="2026-07-27T00:00:00"/>
        <d v="2026-07-30T00:00:00"/>
        <d v="2026-08-02T00:00:00"/>
        <d v="2026-08-05T00:00:00"/>
        <d v="2026-08-08T00:00:00"/>
        <d v="2026-08-11T00:00:00"/>
        <d v="2026-08-14T00:00:00"/>
        <d v="2026-08-17T00:00:00"/>
        <d v="2026-08-20T00:00:00"/>
        <d v="2026-08-23T00:00:00"/>
        <d v="2026-08-26T00:00:00"/>
      </sharedItems>
      <fieldGroup par="9" base="1">
        <rangePr groupBy="days" startDate="2026-01-01T00:00:00" endDate="2026-08-2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8-2026"/>
        </groupItems>
      </fieldGroup>
    </cacheField>
    <cacheField name="Region" numFmtId="0">
      <sharedItems count="4">
        <s v="Salem"/>
        <s v="Erode"/>
        <s v="Coimbatore"/>
        <s v="Namakkal"/>
      </sharedItems>
    </cacheField>
    <cacheField name="Department" numFmtId="0">
      <sharedItems count="3">
        <s v="Sales"/>
        <s v="Retail"/>
        <s v="Corporate"/>
      </sharedItems>
    </cacheField>
    <cacheField name="Salesperson" numFmtId="0">
      <sharedItems count="6">
        <s v="Arun"/>
        <s v="Divya"/>
        <s v="Kavin"/>
        <s v="Meena"/>
        <s v="Naveen"/>
        <s v="Priya"/>
      </sharedItems>
    </cacheField>
    <cacheField name="Category" numFmtId="0">
      <sharedItems count="4">
        <s v="Laptop"/>
        <s v="Mobile"/>
        <s v="Accessories"/>
        <s v="Service"/>
      </sharedItems>
    </cacheField>
    <cacheField name="Sales" numFmtId="165">
      <sharedItems containsSemiMixedTypes="0" containsString="0" containsNumber="1" containsInteger="1" minValue="18000" maxValue="80000" count="80">
        <n v="18000"/>
        <n v="23500"/>
        <n v="29000"/>
        <n v="34500"/>
        <n v="40000"/>
        <n v="45500"/>
        <n v="51000"/>
        <n v="56500"/>
        <n v="62000"/>
        <n v="67500"/>
        <n v="74000"/>
        <n v="19000"/>
        <n v="24500"/>
        <n v="30000"/>
        <n v="35500"/>
        <n v="41000"/>
        <n v="46500"/>
        <n v="52000"/>
        <n v="57500"/>
        <n v="63000"/>
        <n v="69500"/>
        <n v="75000"/>
        <n v="20000"/>
        <n v="25500"/>
        <n v="31000"/>
        <n v="36500"/>
        <n v="42000"/>
        <n v="47500"/>
        <n v="53000"/>
        <n v="58500"/>
        <n v="65000"/>
        <n v="70500"/>
        <n v="76000"/>
        <n v="21000"/>
        <n v="26500"/>
        <n v="32000"/>
        <n v="37500"/>
        <n v="43000"/>
        <n v="48500"/>
        <n v="54000"/>
        <n v="60500"/>
        <n v="66000"/>
        <n v="71500"/>
        <n v="77000"/>
        <n v="22000"/>
        <n v="27500"/>
        <n v="33000"/>
        <n v="38500"/>
        <n v="44000"/>
        <n v="49500"/>
        <n v="56000"/>
        <n v="61500"/>
        <n v="67000"/>
        <n v="72500"/>
        <n v="78000"/>
        <n v="23000"/>
        <n v="28500"/>
        <n v="34000"/>
        <n v="39500"/>
        <n v="45000"/>
        <n v="51500"/>
        <n v="57000"/>
        <n v="62500"/>
        <n v="68000"/>
        <n v="73500"/>
        <n v="79000"/>
        <n v="24000"/>
        <n v="29500"/>
        <n v="35000"/>
        <n v="40500"/>
        <n v="47000"/>
        <n v="52500"/>
        <n v="58000"/>
        <n v="63500"/>
        <n v="69000"/>
        <n v="74500"/>
        <n v="80000"/>
        <n v="25000"/>
        <n v="30500"/>
        <n v="36000"/>
      </sharedItems>
    </cacheField>
    <cacheField name="Profit" numFmtId="165">
      <sharedItems containsSemiMixedTypes="0" containsString="0" containsNumber="1" containsInteger="1" minValue="2160" maxValue="15015"/>
    </cacheField>
    <cacheField name="Units" numFmtId="0">
      <sharedItems containsSemiMixedTypes="0" containsString="0" containsNumber="1" containsInteger="1" minValue="2" maxValue="14"/>
    </cacheField>
    <cacheField name="Months" numFmtId="0" databaseField="0">
      <fieldGroup base="1">
        <rangePr groupBy="months" startDate="2026-01-01T00:00:00" endDate="2026-08-27T00:00:00"/>
        <groupItems count="14">
          <s v="&lt;01-01-2026"/>
          <s v="Jan"/>
          <s v="Feb"/>
          <s v="Mar"/>
          <s v="Apr"/>
          <s v="May"/>
          <s v="Jun"/>
          <s v="Jul"/>
          <s v="Aug"/>
          <s v="Sep"/>
          <s v="Oct"/>
          <s v="Nov"/>
          <s v="Dec"/>
          <s v="&gt;27-08-2026"/>
        </groupItems>
      </fieldGroup>
    </cacheField>
  </cacheFields>
  <extLst>
    <ext xmlns:x14="http://schemas.microsoft.com/office/spreadsheetml/2009/9/main" uri="{725AE2AE-9491-48be-B2B4-4EB974FC3084}">
      <x14:pivotCacheDefinition pivotCacheId="8890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0001"/>
    <x v="0"/>
    <x v="0"/>
    <x v="0"/>
    <x v="0"/>
    <x v="0"/>
    <x v="0"/>
    <n v="2160"/>
    <n v="2"/>
  </r>
  <r>
    <s v="O0002"/>
    <x v="1"/>
    <x v="1"/>
    <x v="1"/>
    <x v="1"/>
    <x v="1"/>
    <x v="1"/>
    <n v="3407"/>
    <n v="3"/>
  </r>
  <r>
    <s v="O0003"/>
    <x v="2"/>
    <x v="2"/>
    <x v="2"/>
    <x v="2"/>
    <x v="2"/>
    <x v="2"/>
    <n v="4930"/>
    <n v="4"/>
  </r>
  <r>
    <s v="O0004"/>
    <x v="3"/>
    <x v="3"/>
    <x v="0"/>
    <x v="3"/>
    <x v="3"/>
    <x v="3"/>
    <n v="6727"/>
    <n v="5"/>
  </r>
  <r>
    <s v="O0005"/>
    <x v="4"/>
    <x v="0"/>
    <x v="1"/>
    <x v="4"/>
    <x v="0"/>
    <x v="4"/>
    <n v="4800"/>
    <n v="6"/>
  </r>
  <r>
    <s v="O0006"/>
    <x v="5"/>
    <x v="1"/>
    <x v="2"/>
    <x v="5"/>
    <x v="1"/>
    <x v="5"/>
    <n v="6597"/>
    <n v="7"/>
  </r>
  <r>
    <s v="O0007"/>
    <x v="6"/>
    <x v="2"/>
    <x v="0"/>
    <x v="0"/>
    <x v="2"/>
    <x v="6"/>
    <n v="8670"/>
    <n v="8"/>
  </r>
  <r>
    <s v="O0008"/>
    <x v="7"/>
    <x v="3"/>
    <x v="1"/>
    <x v="1"/>
    <x v="3"/>
    <x v="7"/>
    <n v="11017"/>
    <n v="9"/>
  </r>
  <r>
    <s v="O0009"/>
    <x v="8"/>
    <x v="0"/>
    <x v="2"/>
    <x v="2"/>
    <x v="0"/>
    <x v="8"/>
    <n v="7440"/>
    <n v="10"/>
  </r>
  <r>
    <s v="O0010"/>
    <x v="9"/>
    <x v="1"/>
    <x v="0"/>
    <x v="3"/>
    <x v="1"/>
    <x v="9"/>
    <n v="9787"/>
    <n v="11"/>
  </r>
  <r>
    <s v="O0011"/>
    <x v="10"/>
    <x v="2"/>
    <x v="1"/>
    <x v="4"/>
    <x v="2"/>
    <x v="10"/>
    <n v="12579"/>
    <n v="12"/>
  </r>
  <r>
    <s v="O0012"/>
    <x v="11"/>
    <x v="3"/>
    <x v="2"/>
    <x v="5"/>
    <x v="3"/>
    <x v="11"/>
    <n v="3705"/>
    <n v="13"/>
  </r>
  <r>
    <s v="O0013"/>
    <x v="12"/>
    <x v="0"/>
    <x v="0"/>
    <x v="0"/>
    <x v="0"/>
    <x v="12"/>
    <n v="2940"/>
    <n v="14"/>
  </r>
  <r>
    <s v="O0014"/>
    <x v="13"/>
    <x v="1"/>
    <x v="1"/>
    <x v="1"/>
    <x v="1"/>
    <x v="13"/>
    <n v="4350"/>
    <n v="2"/>
  </r>
  <r>
    <s v="O0015"/>
    <x v="14"/>
    <x v="2"/>
    <x v="2"/>
    <x v="2"/>
    <x v="2"/>
    <x v="14"/>
    <n v="6034"/>
    <n v="3"/>
  </r>
  <r>
    <s v="O0016"/>
    <x v="15"/>
    <x v="3"/>
    <x v="0"/>
    <x v="3"/>
    <x v="3"/>
    <x v="15"/>
    <n v="7995"/>
    <n v="4"/>
  </r>
  <r>
    <s v="O0017"/>
    <x v="16"/>
    <x v="0"/>
    <x v="1"/>
    <x v="4"/>
    <x v="0"/>
    <x v="16"/>
    <n v="5580"/>
    <n v="5"/>
  </r>
  <r>
    <s v="O0018"/>
    <x v="17"/>
    <x v="1"/>
    <x v="2"/>
    <x v="5"/>
    <x v="1"/>
    <x v="17"/>
    <n v="7539"/>
    <n v="6"/>
  </r>
  <r>
    <s v="O0019"/>
    <x v="18"/>
    <x v="2"/>
    <x v="0"/>
    <x v="0"/>
    <x v="2"/>
    <x v="18"/>
    <n v="9775"/>
    <n v="7"/>
  </r>
  <r>
    <s v="O0020"/>
    <x v="19"/>
    <x v="3"/>
    <x v="1"/>
    <x v="1"/>
    <x v="3"/>
    <x v="19"/>
    <n v="12285"/>
    <n v="8"/>
  </r>
  <r>
    <s v="O0021"/>
    <x v="20"/>
    <x v="0"/>
    <x v="2"/>
    <x v="2"/>
    <x v="0"/>
    <x v="20"/>
    <n v="8340"/>
    <n v="9"/>
  </r>
  <r>
    <s v="O0022"/>
    <x v="21"/>
    <x v="1"/>
    <x v="0"/>
    <x v="3"/>
    <x v="1"/>
    <x v="21"/>
    <n v="10875"/>
    <n v="10"/>
  </r>
  <r>
    <s v="O0023"/>
    <x v="22"/>
    <x v="2"/>
    <x v="1"/>
    <x v="4"/>
    <x v="2"/>
    <x v="22"/>
    <n v="3399"/>
    <n v="11"/>
  </r>
  <r>
    <s v="O0024"/>
    <x v="23"/>
    <x v="3"/>
    <x v="2"/>
    <x v="5"/>
    <x v="3"/>
    <x v="23"/>
    <n v="4972"/>
    <n v="12"/>
  </r>
  <r>
    <s v="O0025"/>
    <x v="24"/>
    <x v="0"/>
    <x v="0"/>
    <x v="0"/>
    <x v="0"/>
    <x v="24"/>
    <n v="3720"/>
    <n v="13"/>
  </r>
  <r>
    <s v="O0026"/>
    <x v="25"/>
    <x v="1"/>
    <x v="1"/>
    <x v="1"/>
    <x v="1"/>
    <x v="25"/>
    <n v="5292"/>
    <n v="14"/>
  </r>
  <r>
    <s v="O0027"/>
    <x v="26"/>
    <x v="2"/>
    <x v="2"/>
    <x v="2"/>
    <x v="2"/>
    <x v="26"/>
    <n v="7139"/>
    <n v="2"/>
  </r>
  <r>
    <s v="O0028"/>
    <x v="27"/>
    <x v="3"/>
    <x v="0"/>
    <x v="3"/>
    <x v="3"/>
    <x v="27"/>
    <n v="9262"/>
    <n v="3"/>
  </r>
  <r>
    <s v="O0029"/>
    <x v="28"/>
    <x v="0"/>
    <x v="1"/>
    <x v="4"/>
    <x v="0"/>
    <x v="28"/>
    <n v="6360"/>
    <n v="4"/>
  </r>
  <r>
    <s v="O0030"/>
    <x v="29"/>
    <x v="1"/>
    <x v="2"/>
    <x v="5"/>
    <x v="1"/>
    <x v="29"/>
    <n v="8482"/>
    <n v="5"/>
  </r>
  <r>
    <s v="O0031"/>
    <x v="30"/>
    <x v="2"/>
    <x v="0"/>
    <x v="0"/>
    <x v="2"/>
    <x v="30"/>
    <n v="11049"/>
    <n v="6"/>
  </r>
  <r>
    <s v="O0032"/>
    <x v="31"/>
    <x v="3"/>
    <x v="1"/>
    <x v="1"/>
    <x v="3"/>
    <x v="31"/>
    <n v="13747"/>
    <n v="7"/>
  </r>
  <r>
    <s v="O0033"/>
    <x v="32"/>
    <x v="0"/>
    <x v="2"/>
    <x v="2"/>
    <x v="0"/>
    <x v="32"/>
    <n v="9120"/>
    <n v="8"/>
  </r>
  <r>
    <s v="O0034"/>
    <x v="33"/>
    <x v="1"/>
    <x v="0"/>
    <x v="3"/>
    <x v="1"/>
    <x v="33"/>
    <n v="3045"/>
    <n v="9"/>
  </r>
  <r>
    <s v="O0035"/>
    <x v="34"/>
    <x v="2"/>
    <x v="1"/>
    <x v="4"/>
    <x v="2"/>
    <x v="34"/>
    <n v="4505"/>
    <n v="10"/>
  </r>
  <r>
    <s v="O0036"/>
    <x v="35"/>
    <x v="3"/>
    <x v="2"/>
    <x v="5"/>
    <x v="3"/>
    <x v="35"/>
    <n v="6240"/>
    <n v="11"/>
  </r>
  <r>
    <s v="O0037"/>
    <x v="36"/>
    <x v="0"/>
    <x v="0"/>
    <x v="0"/>
    <x v="0"/>
    <x v="36"/>
    <n v="4500"/>
    <n v="12"/>
  </r>
  <r>
    <s v="O0038"/>
    <x v="37"/>
    <x v="1"/>
    <x v="1"/>
    <x v="1"/>
    <x v="1"/>
    <x v="37"/>
    <n v="6235"/>
    <n v="13"/>
  </r>
  <r>
    <s v="O0039"/>
    <x v="38"/>
    <x v="2"/>
    <x v="2"/>
    <x v="2"/>
    <x v="2"/>
    <x v="38"/>
    <n v="8245"/>
    <n v="14"/>
  </r>
  <r>
    <s v="O0040"/>
    <x v="39"/>
    <x v="3"/>
    <x v="0"/>
    <x v="3"/>
    <x v="3"/>
    <x v="39"/>
    <n v="10530"/>
    <n v="2"/>
  </r>
  <r>
    <s v="O0041"/>
    <x v="40"/>
    <x v="0"/>
    <x v="1"/>
    <x v="4"/>
    <x v="0"/>
    <x v="40"/>
    <n v="7260"/>
    <n v="3"/>
  </r>
  <r>
    <s v="O0042"/>
    <x v="41"/>
    <x v="1"/>
    <x v="2"/>
    <x v="5"/>
    <x v="1"/>
    <x v="41"/>
    <n v="9570"/>
    <n v="4"/>
  </r>
  <r>
    <s v="O0043"/>
    <x v="42"/>
    <x v="2"/>
    <x v="0"/>
    <x v="0"/>
    <x v="2"/>
    <x v="42"/>
    <n v="12154"/>
    <n v="5"/>
  </r>
  <r>
    <s v="O0044"/>
    <x v="43"/>
    <x v="3"/>
    <x v="1"/>
    <x v="1"/>
    <x v="3"/>
    <x v="43"/>
    <n v="15015"/>
    <n v="6"/>
  </r>
  <r>
    <s v="O0045"/>
    <x v="44"/>
    <x v="0"/>
    <x v="2"/>
    <x v="2"/>
    <x v="0"/>
    <x v="44"/>
    <n v="2640"/>
    <n v="7"/>
  </r>
  <r>
    <s v="O0046"/>
    <x v="45"/>
    <x v="1"/>
    <x v="0"/>
    <x v="3"/>
    <x v="1"/>
    <x v="45"/>
    <n v="3987"/>
    <n v="8"/>
  </r>
  <r>
    <s v="O0047"/>
    <x v="46"/>
    <x v="2"/>
    <x v="1"/>
    <x v="4"/>
    <x v="2"/>
    <x v="46"/>
    <n v="5609"/>
    <n v="9"/>
  </r>
  <r>
    <s v="O0048"/>
    <x v="47"/>
    <x v="3"/>
    <x v="2"/>
    <x v="5"/>
    <x v="3"/>
    <x v="47"/>
    <n v="7507"/>
    <n v="10"/>
  </r>
  <r>
    <s v="O0049"/>
    <x v="48"/>
    <x v="0"/>
    <x v="0"/>
    <x v="0"/>
    <x v="0"/>
    <x v="48"/>
    <n v="5280"/>
    <n v="11"/>
  </r>
  <r>
    <s v="O0050"/>
    <x v="49"/>
    <x v="1"/>
    <x v="1"/>
    <x v="1"/>
    <x v="1"/>
    <x v="49"/>
    <n v="7177"/>
    <n v="12"/>
  </r>
  <r>
    <s v="O0051"/>
    <x v="50"/>
    <x v="2"/>
    <x v="2"/>
    <x v="2"/>
    <x v="2"/>
    <x v="50"/>
    <n v="9520"/>
    <n v="13"/>
  </r>
  <r>
    <s v="O0052"/>
    <x v="51"/>
    <x v="3"/>
    <x v="0"/>
    <x v="3"/>
    <x v="3"/>
    <x v="51"/>
    <n v="11992"/>
    <n v="14"/>
  </r>
  <r>
    <s v="O0053"/>
    <x v="52"/>
    <x v="0"/>
    <x v="1"/>
    <x v="4"/>
    <x v="0"/>
    <x v="52"/>
    <n v="8040"/>
    <n v="2"/>
  </r>
  <r>
    <s v="O0054"/>
    <x v="53"/>
    <x v="1"/>
    <x v="2"/>
    <x v="5"/>
    <x v="1"/>
    <x v="53"/>
    <n v="10512"/>
    <n v="3"/>
  </r>
  <r>
    <s v="O0055"/>
    <x v="54"/>
    <x v="2"/>
    <x v="0"/>
    <x v="0"/>
    <x v="2"/>
    <x v="54"/>
    <n v="13259"/>
    <n v="4"/>
  </r>
  <r>
    <s v="O0056"/>
    <x v="55"/>
    <x v="3"/>
    <x v="1"/>
    <x v="1"/>
    <x v="3"/>
    <x v="55"/>
    <n v="4485"/>
    <n v="5"/>
  </r>
  <r>
    <s v="O0057"/>
    <x v="56"/>
    <x v="0"/>
    <x v="2"/>
    <x v="2"/>
    <x v="0"/>
    <x v="56"/>
    <n v="3420"/>
    <n v="6"/>
  </r>
  <r>
    <s v="O0058"/>
    <x v="57"/>
    <x v="1"/>
    <x v="0"/>
    <x v="3"/>
    <x v="1"/>
    <x v="57"/>
    <n v="4930"/>
    <n v="7"/>
  </r>
  <r>
    <s v="O0059"/>
    <x v="58"/>
    <x v="2"/>
    <x v="1"/>
    <x v="4"/>
    <x v="2"/>
    <x v="58"/>
    <n v="6714"/>
    <n v="8"/>
  </r>
  <r>
    <s v="O0060"/>
    <x v="59"/>
    <x v="3"/>
    <x v="2"/>
    <x v="5"/>
    <x v="3"/>
    <x v="59"/>
    <n v="8775"/>
    <n v="9"/>
  </r>
  <r>
    <s v="O0061"/>
    <x v="60"/>
    <x v="0"/>
    <x v="0"/>
    <x v="0"/>
    <x v="0"/>
    <x v="60"/>
    <n v="6180"/>
    <n v="10"/>
  </r>
  <r>
    <s v="O0062"/>
    <x v="61"/>
    <x v="1"/>
    <x v="1"/>
    <x v="1"/>
    <x v="1"/>
    <x v="61"/>
    <n v="8265"/>
    <n v="11"/>
  </r>
  <r>
    <s v="O0063"/>
    <x v="62"/>
    <x v="2"/>
    <x v="2"/>
    <x v="2"/>
    <x v="2"/>
    <x v="62"/>
    <n v="10624"/>
    <n v="12"/>
  </r>
  <r>
    <s v="O0064"/>
    <x v="63"/>
    <x v="3"/>
    <x v="0"/>
    <x v="3"/>
    <x v="3"/>
    <x v="63"/>
    <n v="13260"/>
    <n v="13"/>
  </r>
  <r>
    <s v="O0065"/>
    <x v="64"/>
    <x v="0"/>
    <x v="1"/>
    <x v="4"/>
    <x v="0"/>
    <x v="64"/>
    <n v="8820"/>
    <n v="14"/>
  </r>
  <r>
    <s v="O0066"/>
    <x v="65"/>
    <x v="1"/>
    <x v="2"/>
    <x v="5"/>
    <x v="1"/>
    <x v="65"/>
    <n v="11455"/>
    <n v="2"/>
  </r>
  <r>
    <s v="O0067"/>
    <x v="66"/>
    <x v="2"/>
    <x v="0"/>
    <x v="0"/>
    <x v="2"/>
    <x v="66"/>
    <n v="4079"/>
    <n v="3"/>
  </r>
  <r>
    <s v="O0068"/>
    <x v="67"/>
    <x v="3"/>
    <x v="1"/>
    <x v="1"/>
    <x v="3"/>
    <x v="67"/>
    <n v="5752"/>
    <n v="4"/>
  </r>
  <r>
    <s v="O0069"/>
    <x v="68"/>
    <x v="0"/>
    <x v="2"/>
    <x v="2"/>
    <x v="0"/>
    <x v="68"/>
    <n v="4200"/>
    <n v="5"/>
  </r>
  <r>
    <s v="O0070"/>
    <x v="69"/>
    <x v="1"/>
    <x v="0"/>
    <x v="3"/>
    <x v="1"/>
    <x v="69"/>
    <n v="5872"/>
    <n v="6"/>
  </r>
  <r>
    <s v="O0071"/>
    <x v="70"/>
    <x v="2"/>
    <x v="1"/>
    <x v="4"/>
    <x v="2"/>
    <x v="70"/>
    <n v="7989"/>
    <n v="7"/>
  </r>
  <r>
    <s v="O0072"/>
    <x v="71"/>
    <x v="3"/>
    <x v="2"/>
    <x v="5"/>
    <x v="3"/>
    <x v="71"/>
    <n v="10237"/>
    <n v="8"/>
  </r>
  <r>
    <s v="O0073"/>
    <x v="72"/>
    <x v="0"/>
    <x v="0"/>
    <x v="0"/>
    <x v="0"/>
    <x v="72"/>
    <n v="6960"/>
    <n v="9"/>
  </r>
  <r>
    <s v="O0074"/>
    <x v="73"/>
    <x v="1"/>
    <x v="1"/>
    <x v="1"/>
    <x v="1"/>
    <x v="73"/>
    <n v="9207"/>
    <n v="10"/>
  </r>
  <r>
    <s v="O0075"/>
    <x v="74"/>
    <x v="2"/>
    <x v="2"/>
    <x v="2"/>
    <x v="2"/>
    <x v="74"/>
    <n v="11729"/>
    <n v="11"/>
  </r>
  <r>
    <s v="O0076"/>
    <x v="75"/>
    <x v="3"/>
    <x v="0"/>
    <x v="3"/>
    <x v="3"/>
    <x v="75"/>
    <n v="14527"/>
    <n v="12"/>
  </r>
  <r>
    <s v="O0077"/>
    <x v="76"/>
    <x v="0"/>
    <x v="1"/>
    <x v="4"/>
    <x v="0"/>
    <x v="76"/>
    <n v="9600"/>
    <n v="13"/>
  </r>
  <r>
    <s v="O0078"/>
    <x v="77"/>
    <x v="1"/>
    <x v="2"/>
    <x v="5"/>
    <x v="1"/>
    <x v="77"/>
    <n v="3624"/>
    <n v="14"/>
  </r>
  <r>
    <s v="O0079"/>
    <x v="78"/>
    <x v="2"/>
    <x v="0"/>
    <x v="0"/>
    <x v="2"/>
    <x v="78"/>
    <n v="5184"/>
    <n v="2"/>
  </r>
  <r>
    <s v="O0080"/>
    <x v="79"/>
    <x v="3"/>
    <x v="1"/>
    <x v="1"/>
    <x v="3"/>
    <x v="79"/>
    <n v="702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E5F30-5E0C-430B-981D-63E444C89A8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M3:N10"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3"/>
        <item x="0"/>
        <item t="default"/>
      </items>
    </pivotField>
    <pivotField showAll="0">
      <items count="4">
        <item x="2"/>
        <item x="1"/>
        <item x="0"/>
        <item t="default"/>
      </items>
    </pivotField>
    <pivotField axis="axisRow" showAll="0">
      <items count="7">
        <item x="0"/>
        <item x="1"/>
        <item x="2"/>
        <item x="3"/>
        <item x="4"/>
        <item x="5"/>
        <item t="default"/>
      </items>
    </pivotField>
    <pivotField showAll="0"/>
    <pivotField numFmtId="165" showAll="0"/>
    <pivotField numFmtId="165"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Units" fld="8" baseField="0" baseItem="0"/>
  </dataFields>
  <formats count="1">
    <format dxfId="36">
      <pivotArea outline="0" collapsedLevelsAreSubtotals="1" fieldPosition="0"/>
    </format>
  </formats>
  <chartFormats count="8">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4"/>
          </reference>
        </references>
      </pivotArea>
    </chartFormat>
    <chartFormat chart="12"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5CCC6-C349-4054-8E52-8E9C4DCB156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8"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3"/>
        <item x="0"/>
        <item t="default"/>
      </items>
    </pivotField>
    <pivotField showAll="0">
      <items count="4">
        <item x="2"/>
        <item x="1"/>
        <item x="0"/>
        <item t="default"/>
      </items>
    </pivotField>
    <pivotField showAll="0"/>
    <pivotField axis="axisRow" showAll="0">
      <items count="5">
        <item x="2"/>
        <item x="0"/>
        <item x="1"/>
        <item x="3"/>
        <item t="default"/>
      </items>
    </pivotField>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6" baseField="2"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4F198-2CC8-4232-B7E5-F73F9AC41A1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V3:W10"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3"/>
        <item x="0"/>
        <item t="default"/>
      </items>
    </pivotField>
    <pivotField showAll="0">
      <items count="4">
        <item x="2"/>
        <item x="1"/>
        <item x="0"/>
        <item t="default"/>
      </items>
    </pivotField>
    <pivotField axis="axisRow" showAll="0">
      <items count="7">
        <item x="0"/>
        <item x="1"/>
        <item x="2"/>
        <item x="3"/>
        <item x="4"/>
        <item x="5"/>
        <item t="default"/>
      </items>
    </pivotField>
    <pivotField showAll="0"/>
    <pivotField dataField="1" numFmtId="165" showAll="0"/>
    <pivotField numFmtId="165"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4"/>
  </rowFields>
  <rowItems count="7">
    <i>
      <x/>
    </i>
    <i>
      <x v="1"/>
    </i>
    <i>
      <x v="2"/>
    </i>
    <i>
      <x v="3"/>
    </i>
    <i>
      <x v="4"/>
    </i>
    <i>
      <x v="5"/>
    </i>
    <i t="grand">
      <x/>
    </i>
  </rowItems>
  <colItems count="1">
    <i/>
  </colItems>
  <dataFields count="1">
    <dataField name="Sum of Sales" fld="6" baseField="0" baseItem="0" numFmtId="166"/>
  </dataFields>
  <formats count="2">
    <format dxfId="38">
      <pivotArea outline="0" collapsedLevelsAreSubtotals="1" fieldPosition="0"/>
    </format>
    <format dxfId="37">
      <pivotArea dataOnly="0" labelOnly="1" outline="0" axis="axisValues" fieldPosition="0"/>
    </format>
  </formats>
  <conditionalFormats count="1">
    <conditionalFormat type="all" priority="3">
      <pivotAreas count="1">
        <pivotArea fieldPosition="0">
          <references count="1">
            <reference field="4" count="0"/>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2F3A3-6B9E-4C61-AA75-AF8141592C7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1"/>
        <item x="3"/>
        <item x="0"/>
        <item t="default"/>
      </items>
    </pivotField>
    <pivotField showAll="0"/>
    <pivotField showAll="0"/>
    <pivotField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2" baseItem="0" numFmtId="165"/>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08E046-9C52-4880-B631-51A11A475FA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S3:T8"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1"/>
        <item x="3"/>
        <item x="0"/>
        <item t="default"/>
      </items>
    </pivotField>
    <pivotField showAll="0">
      <items count="4">
        <item x="2"/>
        <item x="1"/>
        <item x="0"/>
        <item t="default"/>
      </items>
    </pivotField>
    <pivotField showAll="0"/>
    <pivotField showAll="0"/>
    <pivotField dataField="1" numFmtId="165" showAll="0"/>
    <pivotField numFmtId="165"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2"/>
  </rowFields>
  <rowItems count="5">
    <i>
      <x/>
    </i>
    <i>
      <x v="1"/>
    </i>
    <i>
      <x v="2"/>
    </i>
    <i>
      <x v="3"/>
    </i>
    <i t="grand">
      <x/>
    </i>
  </rowItems>
  <colItems count="1">
    <i/>
  </colItems>
  <dataFields count="1">
    <dataField name="Sum of Sales" fld="6" baseField="0" baseItem="0" numFmtId="166"/>
  </dataFields>
  <formats count="2">
    <format dxfId="40">
      <pivotArea outline="0" collapsedLevelsAreSubtotals="1" fieldPosition="0"/>
    </format>
    <format dxfId="39">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DBEDC4-1A63-4114-9186-D81205B0A1A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P3:Q12" firstHeaderRow="1" firstDataRow="1" firstDataCol="1"/>
  <pivotFields count="1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3"/>
        <item x="0"/>
        <item t="default"/>
      </items>
    </pivotField>
    <pivotField showAll="0">
      <items count="4">
        <item x="2"/>
        <item x="1"/>
        <item x="0"/>
        <item t="default"/>
      </items>
    </pivotField>
    <pivotField showAll="0"/>
    <pivotField showAll="0"/>
    <pivotField dataField="1" numFmtId="165"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9">
    <i>
      <x v="1"/>
    </i>
    <i>
      <x v="2"/>
    </i>
    <i>
      <x v="3"/>
    </i>
    <i>
      <x v="4"/>
    </i>
    <i>
      <x v="5"/>
    </i>
    <i>
      <x v="6"/>
    </i>
    <i>
      <x v="7"/>
    </i>
    <i>
      <x v="8"/>
    </i>
    <i t="grand">
      <x/>
    </i>
  </rowItems>
  <colItems count="1">
    <i/>
  </colItems>
  <dataFields count="1">
    <dataField name="Sum of Sales" fld="6" baseField="0" baseItem="0" numFmtId="166"/>
  </dataFields>
  <formats count="2">
    <format dxfId="42">
      <pivotArea outline="0" collapsedLevelsAreSubtotals="1" fieldPosition="0"/>
    </format>
    <format dxfId="4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EE0373-380D-49C8-9DD3-FE842FDC275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Y3:AC9" firstHeaderRow="1" firstDataRow="2" firstDataCol="1" rowPageCount="1" colPageCount="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1"/>
        <item x="3"/>
        <item x="0"/>
        <item t="default"/>
      </items>
    </pivotField>
    <pivotField axis="axisCol" showAll="0">
      <items count="4">
        <item x="2"/>
        <item x="1"/>
        <item x="0"/>
        <item t="default"/>
      </items>
    </pivotField>
    <pivotField showAll="0">
      <items count="7">
        <item x="0"/>
        <item x="1"/>
        <item x="2"/>
        <item x="3"/>
        <item x="4"/>
        <item x="5"/>
        <item t="default"/>
      </items>
    </pivotField>
    <pivotField axis="axisPage" showAll="0">
      <items count="5">
        <item x="2"/>
        <item x="0"/>
        <item x="1"/>
        <item x="3"/>
        <item t="default"/>
      </items>
    </pivotField>
    <pivotField numFmtId="165" showAll="0"/>
    <pivotField dataField="1"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3"/>
  </colFields>
  <colItems count="4">
    <i>
      <x/>
    </i>
    <i>
      <x v="1"/>
    </i>
    <i>
      <x v="2"/>
    </i>
    <i t="grand">
      <x/>
    </i>
  </colItems>
  <pageFields count="1">
    <pageField fld="5" hier="-1"/>
  </pageFields>
  <dataFields count="1">
    <dataField name="Sum of Profit" fld="7" baseField="0" baseItem="0"/>
  </dataFields>
  <formats count="2">
    <format dxfId="44">
      <pivotArea outline="0" collapsedLevelsAreSubtotals="1" fieldPosition="0"/>
    </format>
    <format dxfId="43">
      <pivotArea dataOnly="0" labelOnly="1" outline="0" axis="axisValues"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A1556-3148-4E6B-8D2B-6F70B552D0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7"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2"/>
        <item x="1"/>
        <item x="3"/>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5" showAll="0"/>
    <pivotField showAll="0"/>
    <pivotField showAll="0">
      <items count="15">
        <item x="0"/>
        <item x="1"/>
        <item x="2"/>
        <item x="3"/>
        <item x="4"/>
        <item x="5"/>
        <item x="6"/>
        <item x="7"/>
        <item x="8"/>
        <item x="9"/>
        <item x="10"/>
        <item x="11"/>
        <item x="12"/>
        <item x="13"/>
        <item t="default"/>
      </items>
    </pivotField>
  </pivotFields>
  <rowFields count="1">
    <field x="3"/>
  </rowFields>
  <rowItems count="4">
    <i>
      <x v="2"/>
    </i>
    <i>
      <x v="1"/>
    </i>
    <i>
      <x/>
    </i>
    <i t="grand">
      <x/>
    </i>
  </rowItems>
  <colItems count="1">
    <i/>
  </colItems>
  <dataFields count="1">
    <dataField name="Average of Profit" fld="7" subtotal="average" baseField="3" baseItem="2" numFmtId="165"/>
  </dataFields>
  <formats count="2">
    <format dxfId="46">
      <pivotArea outline="0" collapsedLevelsAreSubtotals="1" fieldPosition="0"/>
    </format>
    <format dxfId="45">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7416E6-00FE-49FC-BEFF-FF55BD18007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12"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1"/>
        <item x="3"/>
        <item x="0"/>
        <item t="default"/>
      </items>
    </pivotField>
    <pivotField showAll="0"/>
    <pivotField showAll="0"/>
    <pivotField axis="axisRow" showAll="0">
      <items count="5">
        <item x="2"/>
        <item x="0"/>
        <item x="1"/>
        <item x="3"/>
        <item t="default"/>
      </items>
    </pivotField>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s>
  <rowFields count="2">
    <field x="2"/>
    <field x="5"/>
  </rowFields>
  <rowItems count="9">
    <i>
      <x/>
    </i>
    <i r="1">
      <x/>
    </i>
    <i>
      <x v="1"/>
    </i>
    <i r="1">
      <x v="2"/>
    </i>
    <i>
      <x v="2"/>
    </i>
    <i r="1">
      <x v="3"/>
    </i>
    <i>
      <x v="3"/>
    </i>
    <i r="1">
      <x v="1"/>
    </i>
    <i t="grand">
      <x/>
    </i>
  </rowItems>
  <colItems count="1">
    <i/>
  </colItems>
  <dataFields count="1">
    <dataField name="Sum of Sales" fld="6" baseField="2" baseItem="0" numFmtId="165"/>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2" count="1" selected="0">
            <x v="0"/>
          </reference>
          <reference field="5" count="1" selected="0">
            <x v="0"/>
          </reference>
        </references>
      </pivotArea>
    </chartFormat>
    <chartFormat chart="3" format="8">
      <pivotArea type="data" outline="0" fieldPosition="0">
        <references count="3">
          <reference field="4294967294" count="1" selected="0">
            <x v="0"/>
          </reference>
          <reference field="2" count="1" selected="0">
            <x v="1"/>
          </reference>
          <reference field="5" count="1" selected="0">
            <x v="2"/>
          </reference>
        </references>
      </pivotArea>
    </chartFormat>
    <chartFormat chart="3" format="9">
      <pivotArea type="data" outline="0" fieldPosition="0">
        <references count="3">
          <reference field="4294967294" count="1" selected="0">
            <x v="0"/>
          </reference>
          <reference field="2" count="1" selected="0">
            <x v="2"/>
          </reference>
          <reference field="5" count="1" selected="0">
            <x v="3"/>
          </reference>
        </references>
      </pivotArea>
    </chartFormat>
    <chartFormat chart="3" format="10">
      <pivotArea type="data" outline="0" fieldPosition="0">
        <references count="3">
          <reference field="4294967294" count="1" selected="0">
            <x v="0"/>
          </reference>
          <reference field="2" count="1" selected="0">
            <x v="3"/>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92D15BB-91B5-41C4-8B9B-6C51BF132B8E}" sourceName="Months">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88904958">
      <items count="14">
        <i x="1" s="1"/>
        <i x="2" s="1"/>
        <i x="3" s="1"/>
        <i x="4" s="1"/>
        <i x="5" s="1"/>
        <i x="6" s="1"/>
        <i x="7" s="1"/>
        <i x="8" s="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D006D82D-9AF8-4D4B-A6B3-2C420669382B}" cache="Slicer_Months" caption="Month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ivotSourceTable" displayName="PivotSourceTable" ref="A3:I84" totalsRowCount="1">
  <tableColumns count="9">
    <tableColumn id="1" xr3:uid="{00000000-0010-0000-0000-000001000000}" name="Order ID" totalsRowFunction="custom">
      <totalsRowFormula>COUNTA(A4:A83)</totalsRowFormula>
    </tableColumn>
    <tableColumn id="2" xr3:uid="{00000000-0010-0000-0000-000002000000}" name="Order Date"/>
    <tableColumn id="3" xr3:uid="{00000000-0010-0000-0000-000003000000}" name="Region"/>
    <tableColumn id="4" xr3:uid="{00000000-0010-0000-0000-000004000000}" name="Department"/>
    <tableColumn id="5" xr3:uid="{00000000-0010-0000-0000-000005000000}" name="Salesperson"/>
    <tableColumn id="6" xr3:uid="{00000000-0010-0000-0000-000006000000}" name="Category"/>
    <tableColumn id="7" xr3:uid="{00000000-0010-0000-0000-000007000000}" name="Sales" totalsRowFunction="custom" totalsRowDxfId="35">
      <totalsRowFormula>SUM(PivotSourceTable[Sales])</totalsRowFormula>
    </tableColumn>
    <tableColumn id="8" xr3:uid="{00000000-0010-0000-0000-000008000000}" name="Profit" totalsRowFunction="custom" totalsRowDxfId="34">
      <totalsRowFormula>SUM(PivotSourceTable[Profit])</totalsRowFormula>
    </tableColumn>
    <tableColumn id="9" xr3:uid="{00000000-0010-0000-0000-000009000000}" name="Units" totalsRowFunction="custom" totalsRowDxfId="33">
      <totalsRowFormula>SUM(PivotSourceTable[Units])</totalsRow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9650-99EC-44BA-8E9F-4552BF5AE484}">
  <dimension ref="A1:AC12"/>
  <sheetViews>
    <sheetView workbookViewId="0">
      <selection activeCell="A6" sqref="A6"/>
    </sheetView>
  </sheetViews>
  <sheetFormatPr defaultRowHeight="14"/>
  <cols>
    <col min="1" max="1" width="12.9140625" bestFit="1" customWidth="1"/>
    <col min="2" max="2" width="12" bestFit="1" customWidth="1"/>
    <col min="4" max="4" width="12.9140625" bestFit="1" customWidth="1"/>
    <col min="5" max="5" width="12" bestFit="1" customWidth="1"/>
    <col min="7" max="7" width="14.4140625" bestFit="1" customWidth="1"/>
    <col min="8" max="8" width="12" bestFit="1" customWidth="1"/>
    <col min="10" max="10" width="12.9140625" bestFit="1" customWidth="1"/>
    <col min="11" max="11" width="15.1640625" bestFit="1" customWidth="1"/>
    <col min="12" max="12" width="11.9140625" bestFit="1" customWidth="1"/>
    <col min="13" max="13" width="12.9140625" bestFit="1" customWidth="1"/>
    <col min="14" max="14" width="11.75" bestFit="1" customWidth="1"/>
    <col min="16" max="16" width="12.9140625" bestFit="1" customWidth="1"/>
    <col min="17" max="17" width="13.08203125" bestFit="1" customWidth="1"/>
    <col min="18" max="18" width="12" bestFit="1" customWidth="1"/>
    <col min="19" max="19" width="12.9140625" bestFit="1" customWidth="1"/>
    <col min="20" max="20" width="13.08203125" bestFit="1" customWidth="1"/>
    <col min="22" max="22" width="12.9140625" bestFit="1" customWidth="1"/>
    <col min="23" max="23" width="13.08203125" bestFit="1" customWidth="1"/>
    <col min="25" max="25" width="12.9140625" bestFit="1" customWidth="1"/>
    <col min="26" max="26" width="15.58203125" bestFit="1" customWidth="1"/>
    <col min="27" max="28" width="10.25" bestFit="1" customWidth="1"/>
    <col min="29" max="29" width="10.83203125" bestFit="1" customWidth="1"/>
  </cols>
  <sheetData>
    <row r="1" spans="1:29">
      <c r="Y1" s="19" t="s">
        <v>6</v>
      </c>
      <c r="Z1" t="s">
        <v>171</v>
      </c>
    </row>
    <row r="3" spans="1:29">
      <c r="A3" s="19" t="s">
        <v>167</v>
      </c>
      <c r="B3" t="s">
        <v>114</v>
      </c>
      <c r="D3" s="19" t="s">
        <v>167</v>
      </c>
      <c r="E3" t="s">
        <v>114</v>
      </c>
      <c r="G3" s="19" t="s">
        <v>167</v>
      </c>
      <c r="H3" t="s">
        <v>114</v>
      </c>
      <c r="J3" s="19" t="s">
        <v>167</v>
      </c>
      <c r="K3" t="s">
        <v>121</v>
      </c>
      <c r="M3" s="19" t="s">
        <v>167</v>
      </c>
      <c r="N3" t="s">
        <v>169</v>
      </c>
      <c r="P3" s="19" t="s">
        <v>167</v>
      </c>
      <c r="Q3" s="23" t="s">
        <v>114</v>
      </c>
      <c r="S3" s="19" t="s">
        <v>167</v>
      </c>
      <c r="T3" s="23" t="s">
        <v>114</v>
      </c>
      <c r="V3" s="19" t="s">
        <v>167</v>
      </c>
      <c r="W3" s="23" t="s">
        <v>114</v>
      </c>
      <c r="Y3" s="19" t="s">
        <v>136</v>
      </c>
      <c r="Z3" s="19" t="s">
        <v>172</v>
      </c>
    </row>
    <row r="4" spans="1:29">
      <c r="A4" s="20" t="s">
        <v>20</v>
      </c>
      <c r="B4" s="2">
        <v>960000</v>
      </c>
      <c r="D4" s="20" t="s">
        <v>23</v>
      </c>
      <c r="E4" s="2">
        <v>960000</v>
      </c>
      <c r="G4" s="20" t="s">
        <v>20</v>
      </c>
      <c r="H4" s="2">
        <v>960000</v>
      </c>
      <c r="J4" s="20" t="s">
        <v>7</v>
      </c>
      <c r="K4" s="2">
        <v>7729.5925925925922</v>
      </c>
      <c r="M4" s="20" t="s">
        <v>12</v>
      </c>
      <c r="N4" s="22">
        <v>106</v>
      </c>
      <c r="P4" s="20" t="s">
        <v>179</v>
      </c>
      <c r="Q4" s="23">
        <v>501500</v>
      </c>
      <c r="S4" s="20" t="s">
        <v>20</v>
      </c>
      <c r="T4" s="23">
        <v>960000</v>
      </c>
      <c r="V4" s="20" t="s">
        <v>12</v>
      </c>
      <c r="W4" s="23">
        <v>642000</v>
      </c>
      <c r="Y4" s="19" t="s">
        <v>167</v>
      </c>
      <c r="Z4" t="s">
        <v>21</v>
      </c>
      <c r="AA4" t="s">
        <v>16</v>
      </c>
      <c r="AB4" t="s">
        <v>7</v>
      </c>
      <c r="AC4" t="s">
        <v>168</v>
      </c>
    </row>
    <row r="5" spans="1:29">
      <c r="A5" s="20" t="s">
        <v>15</v>
      </c>
      <c r="B5" s="2">
        <v>967000</v>
      </c>
      <c r="D5" s="20" t="s">
        <v>13</v>
      </c>
      <c r="E5" s="2">
        <v>978000</v>
      </c>
      <c r="G5" s="21" t="s">
        <v>23</v>
      </c>
      <c r="H5" s="2">
        <v>960000</v>
      </c>
      <c r="J5" s="20" t="s">
        <v>16</v>
      </c>
      <c r="K5" s="2">
        <v>7574.4074074074078</v>
      </c>
      <c r="M5" s="20" t="s">
        <v>17</v>
      </c>
      <c r="N5" s="22">
        <v>107</v>
      </c>
      <c r="P5" s="20" t="s">
        <v>170</v>
      </c>
      <c r="Q5" s="23">
        <v>369000</v>
      </c>
      <c r="S5" s="20" t="s">
        <v>15</v>
      </c>
      <c r="T5" s="23">
        <v>967000</v>
      </c>
      <c r="V5" s="20" t="s">
        <v>17</v>
      </c>
      <c r="W5" s="23">
        <v>658500</v>
      </c>
      <c r="Y5" s="20" t="s">
        <v>20</v>
      </c>
      <c r="Z5" s="23">
        <v>58221</v>
      </c>
      <c r="AA5" s="23">
        <v>40795</v>
      </c>
      <c r="AB5" s="23">
        <v>64170</v>
      </c>
      <c r="AC5" s="23">
        <v>163186</v>
      </c>
    </row>
    <row r="6" spans="1:29">
      <c r="A6" s="20" t="s">
        <v>25</v>
      </c>
      <c r="B6" s="2">
        <v>949000</v>
      </c>
      <c r="D6" s="20" t="s">
        <v>18</v>
      </c>
      <c r="E6" s="2">
        <v>967000</v>
      </c>
      <c r="G6" s="20" t="s">
        <v>15</v>
      </c>
      <c r="H6" s="2">
        <v>967000</v>
      </c>
      <c r="J6" s="20" t="s">
        <v>21</v>
      </c>
      <c r="K6" s="2">
        <v>7407.5384615384619</v>
      </c>
      <c r="M6" s="20" t="s">
        <v>22</v>
      </c>
      <c r="N6" s="22">
        <v>104</v>
      </c>
      <c r="P6" s="20" t="s">
        <v>181</v>
      </c>
      <c r="Q6" s="23">
        <v>458500</v>
      </c>
      <c r="S6" s="20" t="s">
        <v>25</v>
      </c>
      <c r="T6" s="23">
        <v>949000</v>
      </c>
      <c r="V6" s="20" t="s">
        <v>22</v>
      </c>
      <c r="W6" s="23">
        <v>635500</v>
      </c>
      <c r="Y6" s="20" t="s">
        <v>15</v>
      </c>
      <c r="Z6" s="23">
        <v>57779</v>
      </c>
      <c r="AA6" s="23">
        <v>43933</v>
      </c>
      <c r="AB6" s="23">
        <v>38496</v>
      </c>
      <c r="AC6" s="23">
        <v>140208</v>
      </c>
    </row>
    <row r="7" spans="1:29">
      <c r="A7" s="20" t="s">
        <v>11</v>
      </c>
      <c r="B7" s="2">
        <v>978000</v>
      </c>
      <c r="D7" s="20" t="s">
        <v>27</v>
      </c>
      <c r="E7" s="2">
        <v>949000</v>
      </c>
      <c r="G7" s="21" t="s">
        <v>18</v>
      </c>
      <c r="H7" s="2">
        <v>967000</v>
      </c>
      <c r="J7" s="20" t="s">
        <v>168</v>
      </c>
      <c r="K7" s="2">
        <v>7572.55</v>
      </c>
      <c r="M7" s="20" t="s">
        <v>26</v>
      </c>
      <c r="N7" s="22">
        <v>104</v>
      </c>
      <c r="P7" s="20" t="s">
        <v>182</v>
      </c>
      <c r="Q7" s="23">
        <v>474000</v>
      </c>
      <c r="S7" s="20" t="s">
        <v>11</v>
      </c>
      <c r="T7" s="23">
        <v>978000</v>
      </c>
      <c r="V7" s="20" t="s">
        <v>26</v>
      </c>
      <c r="W7" s="23">
        <v>646500</v>
      </c>
      <c r="Y7" s="20" t="s">
        <v>25</v>
      </c>
      <c r="Z7" s="23">
        <v>41436</v>
      </c>
      <c r="AA7" s="23">
        <v>69321</v>
      </c>
      <c r="AB7" s="23">
        <v>74293</v>
      </c>
      <c r="AC7" s="23">
        <v>185050</v>
      </c>
    </row>
    <row r="8" spans="1:29">
      <c r="A8" s="20" t="s">
        <v>168</v>
      </c>
      <c r="B8" s="2">
        <v>3854000</v>
      </c>
      <c r="D8" s="20" t="s">
        <v>168</v>
      </c>
      <c r="E8" s="2">
        <v>3854000</v>
      </c>
      <c r="G8" s="20" t="s">
        <v>25</v>
      </c>
      <c r="H8" s="2">
        <v>949000</v>
      </c>
      <c r="M8" s="20" t="s">
        <v>29</v>
      </c>
      <c r="N8" s="22">
        <v>104</v>
      </c>
      <c r="P8" s="20" t="s">
        <v>183</v>
      </c>
      <c r="Q8" s="23">
        <v>545500</v>
      </c>
      <c r="S8" s="20" t="s">
        <v>168</v>
      </c>
      <c r="T8" s="23">
        <v>3854000</v>
      </c>
      <c r="V8" s="20" t="s">
        <v>29</v>
      </c>
      <c r="W8" s="23">
        <v>660500</v>
      </c>
      <c r="Y8" s="20" t="s">
        <v>11</v>
      </c>
      <c r="Z8" s="23">
        <v>35160</v>
      </c>
      <c r="AA8" s="23">
        <v>50460</v>
      </c>
      <c r="AB8" s="23">
        <v>31740</v>
      </c>
      <c r="AC8" s="23">
        <v>117360</v>
      </c>
    </row>
    <row r="9" spans="1:29">
      <c r="G9" s="21" t="s">
        <v>27</v>
      </c>
      <c r="H9" s="2">
        <v>949000</v>
      </c>
      <c r="M9" s="20" t="s">
        <v>31</v>
      </c>
      <c r="N9" s="22">
        <v>104</v>
      </c>
      <c r="P9" s="20" t="s">
        <v>184</v>
      </c>
      <c r="Q9" s="23">
        <v>500500</v>
      </c>
      <c r="V9" s="20" t="s">
        <v>31</v>
      </c>
      <c r="W9" s="23">
        <v>611000</v>
      </c>
      <c r="Y9" s="20" t="s">
        <v>168</v>
      </c>
      <c r="Z9" s="23">
        <v>192596</v>
      </c>
      <c r="AA9" s="23">
        <v>204509</v>
      </c>
      <c r="AB9" s="23">
        <v>208699</v>
      </c>
      <c r="AC9" s="23">
        <v>605804</v>
      </c>
    </row>
    <row r="10" spans="1:29">
      <c r="G10" s="20" t="s">
        <v>11</v>
      </c>
      <c r="H10" s="2">
        <v>978000</v>
      </c>
      <c r="M10" s="20" t="s">
        <v>168</v>
      </c>
      <c r="N10" s="22">
        <v>629</v>
      </c>
      <c r="P10" s="20" t="s">
        <v>185</v>
      </c>
      <c r="Q10" s="23">
        <v>516000</v>
      </c>
      <c r="V10" s="20" t="s">
        <v>168</v>
      </c>
      <c r="W10" s="23">
        <v>3854000</v>
      </c>
    </row>
    <row r="11" spans="1:29">
      <c r="G11" s="21" t="s">
        <v>13</v>
      </c>
      <c r="H11" s="2">
        <v>978000</v>
      </c>
      <c r="P11" s="20" t="s">
        <v>180</v>
      </c>
      <c r="Q11" s="23">
        <v>489000</v>
      </c>
    </row>
    <row r="12" spans="1:29">
      <c r="G12" s="20" t="s">
        <v>168</v>
      </c>
      <c r="H12" s="2">
        <v>3854000</v>
      </c>
      <c r="P12" s="20" t="s">
        <v>168</v>
      </c>
      <c r="Q12" s="23">
        <v>3854000</v>
      </c>
    </row>
  </sheetData>
  <conditionalFormatting sqref="V3:W3 V4:V10">
    <cfRule type="top10" priority="4" rank="5"/>
  </conditionalFormatting>
  <conditionalFormatting pivot="1" sqref="W4:W9">
    <cfRule type="top10" dxfId="47" priority="3" rank="5"/>
  </conditionalFormatting>
  <conditionalFormatting sqref="Y3:Z3 Y4:Y10">
    <cfRule type="top10" priority="2" rank="5"/>
  </conditionalFormatting>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2E27-DF09-4B84-BB71-D5D10AE8E8B8}">
  <dimension ref="B2:AQ52"/>
  <sheetViews>
    <sheetView tabSelected="1" topLeftCell="B1" zoomScale="36" zoomScaleNormal="35" workbookViewId="0">
      <selection activeCell="AQ40" sqref="AQ40"/>
    </sheetView>
  </sheetViews>
  <sheetFormatPr defaultRowHeight="14"/>
  <cols>
    <col min="15" max="15" width="10.4140625" bestFit="1" customWidth="1"/>
    <col min="31" max="31" width="16.9140625" bestFit="1" customWidth="1"/>
  </cols>
  <sheetData>
    <row r="2" spans="2:43">
      <c r="B2" s="26" t="s">
        <v>173</v>
      </c>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row>
    <row r="3" spans="2:43">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row>
    <row r="4" spans="2:43">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2:43">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row>
    <row r="6" spans="2:43">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row>
    <row r="7" spans="2:43">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row>
    <row r="8" spans="2:43">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row>
    <row r="9" spans="2:43">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row>
    <row r="10" spans="2:43">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spans="2:43">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spans="2:43" ht="14" customHeight="1">
      <c r="B12" s="24"/>
      <c r="C12" s="24"/>
      <c r="D12" s="24"/>
      <c r="E12" s="24"/>
      <c r="F12" s="24"/>
      <c r="G12" s="24"/>
      <c r="H12" s="24"/>
      <c r="I12" s="24"/>
      <c r="J12" s="24"/>
      <c r="K12" s="24"/>
      <c r="L12" s="24"/>
      <c r="M12" s="24"/>
      <c r="N12" s="24"/>
      <c r="O12" s="24"/>
      <c r="P12" s="30" t="s">
        <v>178</v>
      </c>
      <c r="Q12" s="30"/>
      <c r="R12" s="30"/>
      <c r="S12" s="30"/>
      <c r="T12" s="24"/>
      <c r="U12" s="32" t="s">
        <v>177</v>
      </c>
      <c r="V12" s="32"/>
      <c r="W12" s="32"/>
      <c r="X12" s="32"/>
      <c r="Y12" s="24"/>
      <c r="Z12" s="30" t="s">
        <v>176</v>
      </c>
      <c r="AA12" s="30"/>
      <c r="AB12" s="30"/>
      <c r="AC12" s="30"/>
      <c r="AD12" s="24"/>
      <c r="AE12" s="28" t="s">
        <v>175</v>
      </c>
      <c r="AF12" s="28"/>
      <c r="AG12" s="28"/>
      <c r="AH12" s="28"/>
      <c r="AI12" s="24"/>
    </row>
    <row r="13" spans="2:43" ht="27.5" customHeight="1">
      <c r="B13" s="24"/>
      <c r="C13" s="24"/>
      <c r="D13" s="24"/>
      <c r="E13" s="24"/>
      <c r="F13" s="24"/>
      <c r="G13" s="24"/>
      <c r="H13" s="24"/>
      <c r="I13" s="24"/>
      <c r="J13" s="24"/>
      <c r="K13" s="24"/>
      <c r="L13" s="24"/>
      <c r="M13" s="24"/>
      <c r="N13" s="24"/>
      <c r="O13" s="24"/>
      <c r="P13" s="30"/>
      <c r="Q13" s="30"/>
      <c r="R13" s="30"/>
      <c r="S13" s="30"/>
      <c r="T13" s="24"/>
      <c r="U13" s="32"/>
      <c r="V13" s="32"/>
      <c r="W13" s="32"/>
      <c r="X13" s="32"/>
      <c r="Y13" s="24"/>
      <c r="Z13" s="30"/>
      <c r="AA13" s="30"/>
      <c r="AB13" s="30"/>
      <c r="AC13" s="30"/>
      <c r="AD13" s="24"/>
      <c r="AE13" s="28"/>
      <c r="AF13" s="28"/>
      <c r="AG13" s="28"/>
      <c r="AH13" s="28"/>
      <c r="AI13" s="24"/>
      <c r="AQ13" t="s">
        <v>174</v>
      </c>
    </row>
    <row r="14" spans="2:43" ht="15.5" customHeight="1">
      <c r="B14" s="24"/>
      <c r="C14" s="24"/>
      <c r="D14" s="24"/>
      <c r="E14" s="24"/>
      <c r="F14" s="24"/>
      <c r="G14" s="24"/>
      <c r="H14" s="24"/>
      <c r="I14" s="24"/>
      <c r="J14" s="24"/>
      <c r="K14" s="24"/>
      <c r="L14" s="24"/>
      <c r="M14" s="24"/>
      <c r="N14" s="24"/>
      <c r="O14" s="24"/>
      <c r="P14" s="30"/>
      <c r="Q14" s="30"/>
      <c r="R14" s="30"/>
      <c r="S14" s="30"/>
      <c r="T14" s="24"/>
      <c r="U14" s="32"/>
      <c r="V14" s="32"/>
      <c r="W14" s="32"/>
      <c r="X14" s="32"/>
      <c r="Y14" s="24"/>
      <c r="Z14" s="30"/>
      <c r="AA14" s="30"/>
      <c r="AB14" s="30"/>
      <c r="AC14" s="30"/>
      <c r="AD14" s="24"/>
      <c r="AE14" s="29">
        <f>Business_Transactions!G84</f>
        <v>3854000</v>
      </c>
      <c r="AF14" s="29"/>
      <c r="AG14" s="29"/>
      <c r="AH14" s="29"/>
      <c r="AI14" s="24"/>
    </row>
    <row r="15" spans="2:43" ht="15.5" customHeight="1">
      <c r="B15" s="24"/>
      <c r="C15" s="24"/>
      <c r="D15" s="24"/>
      <c r="E15" s="24"/>
      <c r="F15" s="24"/>
      <c r="G15" s="24"/>
      <c r="H15" s="24"/>
      <c r="I15" s="24"/>
      <c r="J15" s="24"/>
      <c r="K15" s="24"/>
      <c r="L15" s="24"/>
      <c r="M15" s="24"/>
      <c r="N15" s="24"/>
      <c r="O15" s="25"/>
      <c r="P15" s="31">
        <f>Business_Transactions!A84</f>
        <v>80</v>
      </c>
      <c r="Q15" s="31"/>
      <c r="R15" s="31"/>
      <c r="S15" s="31"/>
      <c r="T15" s="24"/>
      <c r="U15" s="31">
        <f>Business_Transactions!I84</f>
        <v>629</v>
      </c>
      <c r="V15" s="31"/>
      <c r="W15" s="31"/>
      <c r="X15" s="31"/>
      <c r="Y15" s="24"/>
      <c r="Z15" s="31">
        <f>Business_Transactions!H84</f>
        <v>605804</v>
      </c>
      <c r="AA15" s="31"/>
      <c r="AB15" s="31"/>
      <c r="AC15" s="31"/>
      <c r="AD15" s="24"/>
      <c r="AE15" s="29"/>
      <c r="AF15" s="29"/>
      <c r="AG15" s="29"/>
      <c r="AH15" s="29"/>
      <c r="AI15" s="24"/>
    </row>
    <row r="16" spans="2:43" ht="14" customHeight="1">
      <c r="B16" s="24"/>
      <c r="C16" s="24"/>
      <c r="D16" s="24"/>
      <c r="E16" s="24"/>
      <c r="F16" s="24"/>
      <c r="G16" s="24"/>
      <c r="H16" s="24"/>
      <c r="I16" s="24"/>
      <c r="J16" s="24"/>
      <c r="K16" s="24"/>
      <c r="L16" s="24"/>
      <c r="M16" s="24"/>
      <c r="N16" s="24"/>
      <c r="O16" s="24"/>
      <c r="P16" s="31"/>
      <c r="Q16" s="31"/>
      <c r="R16" s="31"/>
      <c r="S16" s="31"/>
      <c r="T16" s="24"/>
      <c r="U16" s="31"/>
      <c r="V16" s="31"/>
      <c r="W16" s="31"/>
      <c r="X16" s="31"/>
      <c r="Y16" s="24"/>
      <c r="Z16" s="31"/>
      <c r="AA16" s="31"/>
      <c r="AB16" s="31"/>
      <c r="AC16" s="31"/>
      <c r="AD16" s="24"/>
      <c r="AE16" s="29"/>
      <c r="AF16" s="29"/>
      <c r="AG16" s="29"/>
      <c r="AH16" s="29"/>
      <c r="AI16" s="24"/>
    </row>
    <row r="17" spans="2:35" ht="14" customHeight="1">
      <c r="B17" s="24"/>
      <c r="C17" s="24"/>
      <c r="D17" s="24"/>
      <c r="E17" s="24"/>
      <c r="F17" s="24"/>
      <c r="G17" s="24"/>
      <c r="H17" s="24"/>
      <c r="I17" s="24"/>
      <c r="J17" s="24"/>
      <c r="K17" s="24"/>
      <c r="L17" s="24"/>
      <c r="M17" s="24"/>
      <c r="N17" s="24"/>
      <c r="O17" s="24"/>
      <c r="P17" s="31"/>
      <c r="Q17" s="31"/>
      <c r="R17" s="31"/>
      <c r="S17" s="31"/>
      <c r="T17" s="24"/>
      <c r="U17" s="31"/>
      <c r="V17" s="31"/>
      <c r="W17" s="31"/>
      <c r="X17" s="31"/>
      <c r="Y17" s="24"/>
      <c r="Z17" s="31"/>
      <c r="AA17" s="31"/>
      <c r="AB17" s="31"/>
      <c r="AC17" s="31"/>
      <c r="AD17" s="24"/>
      <c r="AE17" s="29"/>
      <c r="AF17" s="29"/>
      <c r="AG17" s="29"/>
      <c r="AH17" s="29"/>
      <c r="AI17" s="24"/>
    </row>
    <row r="18" spans="2:35">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row>
    <row r="19" spans="2:35">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row>
    <row r="20" spans="2:35">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row>
    <row r="21" spans="2:35">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row>
    <row r="22" spans="2:35">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row>
    <row r="23" spans="2:35">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row>
    <row r="24" spans="2:35">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row>
    <row r="25" spans="2:35">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row>
    <row r="26" spans="2:35">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row>
    <row r="27" spans="2:35">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row>
    <row r="28" spans="2:35">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row>
    <row r="29" spans="2:35">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row>
    <row r="30" spans="2:35">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row>
    <row r="31" spans="2:35">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row>
    <row r="32" spans="2:35">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row>
    <row r="33" spans="2:35">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row>
    <row r="34" spans="2:35">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row>
    <row r="35" spans="2:35">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row>
    <row r="36" spans="2:35">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row>
    <row r="37" spans="2:35">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row>
    <row r="38" spans="2:35">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row>
    <row r="39" spans="2:35">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row>
    <row r="40" spans="2:35">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row>
    <row r="41" spans="2:35">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row>
    <row r="42" spans="2:35">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row>
    <row r="43" spans="2:35">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row>
    <row r="44" spans="2:35">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row>
    <row r="45" spans="2:35">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row>
    <row r="46" spans="2:35">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row>
    <row r="47" spans="2:35">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row>
    <row r="48" spans="2:35">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row>
    <row r="49" spans="2:35">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row>
    <row r="50" spans="2:35">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row>
    <row r="51" spans="2:35">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row>
    <row r="52" spans="2:35">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row>
  </sheetData>
  <mergeCells count="9">
    <mergeCell ref="B2:AI8"/>
    <mergeCell ref="AE12:AH13"/>
    <mergeCell ref="AE14:AH17"/>
    <mergeCell ref="Z12:AC14"/>
    <mergeCell ref="Z15:AC17"/>
    <mergeCell ref="U12:X14"/>
    <mergeCell ref="U15:X17"/>
    <mergeCell ref="P12:S14"/>
    <mergeCell ref="P15:S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zoomScale="90" zoomScaleNormal="90" workbookViewId="0">
      <selection activeCell="G84" sqref="G84"/>
    </sheetView>
  </sheetViews>
  <sheetFormatPr defaultRowHeight="14"/>
  <cols>
    <col min="1" max="1" width="11" customWidth="1"/>
    <col min="2" max="2" width="14" customWidth="1"/>
    <col min="3" max="4" width="15" customWidth="1"/>
    <col min="5" max="6" width="16" customWidth="1"/>
    <col min="7" max="8" width="14" customWidth="1"/>
    <col min="9" max="9" width="10" customWidth="1"/>
  </cols>
  <sheetData>
    <row r="1" spans="1:9" ht="18.649999999999999" customHeight="1">
      <c r="A1" s="33" t="s">
        <v>0</v>
      </c>
      <c r="B1" s="33"/>
      <c r="C1" s="33"/>
      <c r="D1" s="33"/>
      <c r="E1" s="33"/>
      <c r="F1" s="33"/>
      <c r="G1" s="33"/>
      <c r="H1" s="33"/>
      <c r="I1" s="33"/>
    </row>
    <row r="3" spans="1:9">
      <c r="A3" s="3" t="s">
        <v>1</v>
      </c>
      <c r="B3" s="4" t="s">
        <v>2</v>
      </c>
      <c r="C3" s="4" t="s">
        <v>3</v>
      </c>
      <c r="D3" s="4" t="s">
        <v>4</v>
      </c>
      <c r="E3" s="4" t="s">
        <v>5</v>
      </c>
      <c r="F3" s="4" t="s">
        <v>6</v>
      </c>
      <c r="G3" s="4" t="s">
        <v>7</v>
      </c>
      <c r="H3" s="4" t="s">
        <v>8</v>
      </c>
      <c r="I3" s="5" t="s">
        <v>9</v>
      </c>
    </row>
    <row r="4" spans="1:9">
      <c r="A4" s="6" t="s">
        <v>10</v>
      </c>
      <c r="B4" s="1">
        <v>46023</v>
      </c>
      <c r="C4" t="s">
        <v>11</v>
      </c>
      <c r="D4" t="s">
        <v>7</v>
      </c>
      <c r="E4" t="s">
        <v>12</v>
      </c>
      <c r="F4" t="s">
        <v>13</v>
      </c>
      <c r="G4" s="2">
        <v>18000</v>
      </c>
      <c r="H4" s="2">
        <v>2160</v>
      </c>
      <c r="I4" s="7">
        <v>2</v>
      </c>
    </row>
    <row r="5" spans="1:9">
      <c r="A5" s="6" t="s">
        <v>14</v>
      </c>
      <c r="B5" s="1">
        <v>46026</v>
      </c>
      <c r="C5" t="s">
        <v>15</v>
      </c>
      <c r="D5" t="s">
        <v>16</v>
      </c>
      <c r="E5" t="s">
        <v>17</v>
      </c>
      <c r="F5" t="s">
        <v>18</v>
      </c>
      <c r="G5" s="2">
        <v>23500</v>
      </c>
      <c r="H5" s="2">
        <v>3407</v>
      </c>
      <c r="I5" s="7">
        <v>3</v>
      </c>
    </row>
    <row r="6" spans="1:9">
      <c r="A6" s="6" t="s">
        <v>19</v>
      </c>
      <c r="B6" s="1">
        <v>46029</v>
      </c>
      <c r="C6" t="s">
        <v>20</v>
      </c>
      <c r="D6" t="s">
        <v>21</v>
      </c>
      <c r="E6" t="s">
        <v>22</v>
      </c>
      <c r="F6" t="s">
        <v>23</v>
      </c>
      <c r="G6" s="2">
        <v>29000</v>
      </c>
      <c r="H6" s="2">
        <v>4930</v>
      </c>
      <c r="I6" s="7">
        <v>4</v>
      </c>
    </row>
    <row r="7" spans="1:9">
      <c r="A7" s="6" t="s">
        <v>24</v>
      </c>
      <c r="B7" s="1">
        <v>46032</v>
      </c>
      <c r="C7" t="s">
        <v>25</v>
      </c>
      <c r="D7" t="s">
        <v>7</v>
      </c>
      <c r="E7" t="s">
        <v>26</v>
      </c>
      <c r="F7" t="s">
        <v>27</v>
      </c>
      <c r="G7" s="2">
        <v>34500</v>
      </c>
      <c r="H7" s="2">
        <v>6727</v>
      </c>
      <c r="I7" s="7">
        <v>5</v>
      </c>
    </row>
    <row r="8" spans="1:9">
      <c r="A8" s="6" t="s">
        <v>28</v>
      </c>
      <c r="B8" s="1">
        <v>46035</v>
      </c>
      <c r="C8" t="s">
        <v>11</v>
      </c>
      <c r="D8" t="s">
        <v>16</v>
      </c>
      <c r="E8" t="s">
        <v>29</v>
      </c>
      <c r="F8" t="s">
        <v>13</v>
      </c>
      <c r="G8" s="2">
        <v>40000</v>
      </c>
      <c r="H8" s="2">
        <v>4800</v>
      </c>
      <c r="I8" s="7">
        <v>6</v>
      </c>
    </row>
    <row r="9" spans="1:9">
      <c r="A9" s="6" t="s">
        <v>30</v>
      </c>
      <c r="B9" s="1">
        <v>46038</v>
      </c>
      <c r="C9" t="s">
        <v>15</v>
      </c>
      <c r="D9" t="s">
        <v>21</v>
      </c>
      <c r="E9" t="s">
        <v>31</v>
      </c>
      <c r="F9" t="s">
        <v>18</v>
      </c>
      <c r="G9" s="2">
        <v>45500</v>
      </c>
      <c r="H9" s="2">
        <v>6597</v>
      </c>
      <c r="I9" s="7">
        <v>7</v>
      </c>
    </row>
    <row r="10" spans="1:9">
      <c r="A10" s="6" t="s">
        <v>32</v>
      </c>
      <c r="B10" s="1">
        <v>46041</v>
      </c>
      <c r="C10" t="s">
        <v>20</v>
      </c>
      <c r="D10" t="s">
        <v>7</v>
      </c>
      <c r="E10" t="s">
        <v>12</v>
      </c>
      <c r="F10" t="s">
        <v>23</v>
      </c>
      <c r="G10" s="2">
        <v>51000</v>
      </c>
      <c r="H10" s="2">
        <v>8670</v>
      </c>
      <c r="I10" s="7">
        <v>8</v>
      </c>
    </row>
    <row r="11" spans="1:9">
      <c r="A11" s="6" t="s">
        <v>33</v>
      </c>
      <c r="B11" s="1">
        <v>46044</v>
      </c>
      <c r="C11" t="s">
        <v>25</v>
      </c>
      <c r="D11" t="s">
        <v>16</v>
      </c>
      <c r="E11" t="s">
        <v>17</v>
      </c>
      <c r="F11" t="s">
        <v>27</v>
      </c>
      <c r="G11" s="2">
        <v>56500</v>
      </c>
      <c r="H11" s="2">
        <v>11017</v>
      </c>
      <c r="I11" s="7">
        <v>9</v>
      </c>
    </row>
    <row r="12" spans="1:9">
      <c r="A12" s="6" t="s">
        <v>34</v>
      </c>
      <c r="B12" s="1">
        <v>46047</v>
      </c>
      <c r="C12" t="s">
        <v>11</v>
      </c>
      <c r="D12" t="s">
        <v>21</v>
      </c>
      <c r="E12" t="s">
        <v>22</v>
      </c>
      <c r="F12" t="s">
        <v>13</v>
      </c>
      <c r="G12" s="2">
        <v>62000</v>
      </c>
      <c r="H12" s="2">
        <v>7440</v>
      </c>
      <c r="I12" s="7">
        <v>10</v>
      </c>
    </row>
    <row r="13" spans="1:9">
      <c r="A13" s="6" t="s">
        <v>35</v>
      </c>
      <c r="B13" s="1">
        <v>46050</v>
      </c>
      <c r="C13" t="s">
        <v>15</v>
      </c>
      <c r="D13" t="s">
        <v>7</v>
      </c>
      <c r="E13" t="s">
        <v>26</v>
      </c>
      <c r="F13" t="s">
        <v>18</v>
      </c>
      <c r="G13" s="2">
        <v>67500</v>
      </c>
      <c r="H13" s="2">
        <v>9787</v>
      </c>
      <c r="I13" s="7">
        <v>11</v>
      </c>
    </row>
    <row r="14" spans="1:9">
      <c r="A14" s="6" t="s">
        <v>36</v>
      </c>
      <c r="B14" s="1">
        <v>46053</v>
      </c>
      <c r="C14" t="s">
        <v>20</v>
      </c>
      <c r="D14" t="s">
        <v>16</v>
      </c>
      <c r="E14" t="s">
        <v>29</v>
      </c>
      <c r="F14" t="s">
        <v>23</v>
      </c>
      <c r="G14" s="2">
        <v>74000</v>
      </c>
      <c r="H14" s="2">
        <v>12579</v>
      </c>
      <c r="I14" s="7">
        <v>12</v>
      </c>
    </row>
    <row r="15" spans="1:9">
      <c r="A15" s="6" t="s">
        <v>37</v>
      </c>
      <c r="B15" s="1">
        <v>46056</v>
      </c>
      <c r="C15" t="s">
        <v>25</v>
      </c>
      <c r="D15" t="s">
        <v>21</v>
      </c>
      <c r="E15" t="s">
        <v>31</v>
      </c>
      <c r="F15" t="s">
        <v>27</v>
      </c>
      <c r="G15" s="2">
        <v>19000</v>
      </c>
      <c r="H15" s="2">
        <v>3705</v>
      </c>
      <c r="I15" s="7">
        <v>13</v>
      </c>
    </row>
    <row r="16" spans="1:9">
      <c r="A16" s="6" t="s">
        <v>38</v>
      </c>
      <c r="B16" s="1">
        <v>46059</v>
      </c>
      <c r="C16" t="s">
        <v>11</v>
      </c>
      <c r="D16" t="s">
        <v>7</v>
      </c>
      <c r="E16" t="s">
        <v>12</v>
      </c>
      <c r="F16" t="s">
        <v>13</v>
      </c>
      <c r="G16" s="2">
        <v>24500</v>
      </c>
      <c r="H16" s="2">
        <v>2940</v>
      </c>
      <c r="I16" s="7">
        <v>14</v>
      </c>
    </row>
    <row r="17" spans="1:9">
      <c r="A17" s="6" t="s">
        <v>39</v>
      </c>
      <c r="B17" s="1">
        <v>46062</v>
      </c>
      <c r="C17" t="s">
        <v>15</v>
      </c>
      <c r="D17" t="s">
        <v>16</v>
      </c>
      <c r="E17" t="s">
        <v>17</v>
      </c>
      <c r="F17" t="s">
        <v>18</v>
      </c>
      <c r="G17" s="2">
        <v>30000</v>
      </c>
      <c r="H17" s="2">
        <v>4350</v>
      </c>
      <c r="I17" s="7">
        <v>2</v>
      </c>
    </row>
    <row r="18" spans="1:9">
      <c r="A18" s="6" t="s">
        <v>40</v>
      </c>
      <c r="B18" s="1">
        <v>46065</v>
      </c>
      <c r="C18" t="s">
        <v>20</v>
      </c>
      <c r="D18" t="s">
        <v>21</v>
      </c>
      <c r="E18" t="s">
        <v>22</v>
      </c>
      <c r="F18" t="s">
        <v>23</v>
      </c>
      <c r="G18" s="2">
        <v>35500</v>
      </c>
      <c r="H18" s="2">
        <v>6034</v>
      </c>
      <c r="I18" s="7">
        <v>3</v>
      </c>
    </row>
    <row r="19" spans="1:9">
      <c r="A19" s="6" t="s">
        <v>41</v>
      </c>
      <c r="B19" s="1">
        <v>46068</v>
      </c>
      <c r="C19" t="s">
        <v>25</v>
      </c>
      <c r="D19" t="s">
        <v>7</v>
      </c>
      <c r="E19" t="s">
        <v>26</v>
      </c>
      <c r="F19" t="s">
        <v>27</v>
      </c>
      <c r="G19" s="2">
        <v>41000</v>
      </c>
      <c r="H19" s="2">
        <v>7995</v>
      </c>
      <c r="I19" s="7">
        <v>4</v>
      </c>
    </row>
    <row r="20" spans="1:9">
      <c r="A20" s="6" t="s">
        <v>42</v>
      </c>
      <c r="B20" s="1">
        <v>46071</v>
      </c>
      <c r="C20" t="s">
        <v>11</v>
      </c>
      <c r="D20" t="s">
        <v>16</v>
      </c>
      <c r="E20" t="s">
        <v>29</v>
      </c>
      <c r="F20" t="s">
        <v>13</v>
      </c>
      <c r="G20" s="2">
        <v>46500</v>
      </c>
      <c r="H20" s="2">
        <v>5580</v>
      </c>
      <c r="I20" s="7">
        <v>5</v>
      </c>
    </row>
    <row r="21" spans="1:9">
      <c r="A21" s="6" t="s">
        <v>43</v>
      </c>
      <c r="B21" s="1">
        <v>46074</v>
      </c>
      <c r="C21" t="s">
        <v>15</v>
      </c>
      <c r="D21" t="s">
        <v>21</v>
      </c>
      <c r="E21" t="s">
        <v>31</v>
      </c>
      <c r="F21" t="s">
        <v>18</v>
      </c>
      <c r="G21" s="2">
        <v>52000</v>
      </c>
      <c r="H21" s="2">
        <v>7539</v>
      </c>
      <c r="I21" s="7">
        <v>6</v>
      </c>
    </row>
    <row r="22" spans="1:9">
      <c r="A22" s="6" t="s">
        <v>44</v>
      </c>
      <c r="B22" s="1">
        <v>46077</v>
      </c>
      <c r="C22" t="s">
        <v>20</v>
      </c>
      <c r="D22" t="s">
        <v>7</v>
      </c>
      <c r="E22" t="s">
        <v>12</v>
      </c>
      <c r="F22" t="s">
        <v>23</v>
      </c>
      <c r="G22" s="2">
        <v>57500</v>
      </c>
      <c r="H22" s="2">
        <v>9775</v>
      </c>
      <c r="I22" s="7">
        <v>7</v>
      </c>
    </row>
    <row r="23" spans="1:9">
      <c r="A23" s="6" t="s">
        <v>45</v>
      </c>
      <c r="B23" s="1">
        <v>46080</v>
      </c>
      <c r="C23" t="s">
        <v>25</v>
      </c>
      <c r="D23" t="s">
        <v>16</v>
      </c>
      <c r="E23" t="s">
        <v>17</v>
      </c>
      <c r="F23" t="s">
        <v>27</v>
      </c>
      <c r="G23" s="2">
        <v>63000</v>
      </c>
      <c r="H23" s="2">
        <v>12285</v>
      </c>
      <c r="I23" s="7">
        <v>8</v>
      </c>
    </row>
    <row r="24" spans="1:9">
      <c r="A24" s="6" t="s">
        <v>46</v>
      </c>
      <c r="B24" s="1">
        <v>46083</v>
      </c>
      <c r="C24" t="s">
        <v>11</v>
      </c>
      <c r="D24" t="s">
        <v>21</v>
      </c>
      <c r="E24" t="s">
        <v>22</v>
      </c>
      <c r="F24" t="s">
        <v>13</v>
      </c>
      <c r="G24" s="2">
        <v>69500</v>
      </c>
      <c r="H24" s="2">
        <v>8340</v>
      </c>
      <c r="I24" s="7">
        <v>9</v>
      </c>
    </row>
    <row r="25" spans="1:9">
      <c r="A25" s="6" t="s">
        <v>47</v>
      </c>
      <c r="B25" s="1">
        <v>46086</v>
      </c>
      <c r="C25" t="s">
        <v>15</v>
      </c>
      <c r="D25" t="s">
        <v>7</v>
      </c>
      <c r="E25" t="s">
        <v>26</v>
      </c>
      <c r="F25" t="s">
        <v>18</v>
      </c>
      <c r="G25" s="2">
        <v>75000</v>
      </c>
      <c r="H25" s="2">
        <v>10875</v>
      </c>
      <c r="I25" s="7">
        <v>10</v>
      </c>
    </row>
    <row r="26" spans="1:9">
      <c r="A26" s="6" t="s">
        <v>48</v>
      </c>
      <c r="B26" s="1">
        <v>46089</v>
      </c>
      <c r="C26" t="s">
        <v>20</v>
      </c>
      <c r="D26" t="s">
        <v>16</v>
      </c>
      <c r="E26" t="s">
        <v>29</v>
      </c>
      <c r="F26" t="s">
        <v>23</v>
      </c>
      <c r="G26" s="2">
        <v>20000</v>
      </c>
      <c r="H26" s="2">
        <v>3399</v>
      </c>
      <c r="I26" s="7">
        <v>11</v>
      </c>
    </row>
    <row r="27" spans="1:9">
      <c r="A27" s="6" t="s">
        <v>49</v>
      </c>
      <c r="B27" s="1">
        <v>46092</v>
      </c>
      <c r="C27" t="s">
        <v>25</v>
      </c>
      <c r="D27" t="s">
        <v>21</v>
      </c>
      <c r="E27" t="s">
        <v>31</v>
      </c>
      <c r="F27" t="s">
        <v>27</v>
      </c>
      <c r="G27" s="2">
        <v>25500</v>
      </c>
      <c r="H27" s="2">
        <v>4972</v>
      </c>
      <c r="I27" s="7">
        <v>12</v>
      </c>
    </row>
    <row r="28" spans="1:9">
      <c r="A28" s="6" t="s">
        <v>50</v>
      </c>
      <c r="B28" s="1">
        <v>46095</v>
      </c>
      <c r="C28" t="s">
        <v>11</v>
      </c>
      <c r="D28" t="s">
        <v>7</v>
      </c>
      <c r="E28" t="s">
        <v>12</v>
      </c>
      <c r="F28" t="s">
        <v>13</v>
      </c>
      <c r="G28" s="2">
        <v>31000</v>
      </c>
      <c r="H28" s="2">
        <v>3720</v>
      </c>
      <c r="I28" s="7">
        <v>13</v>
      </c>
    </row>
    <row r="29" spans="1:9">
      <c r="A29" s="6" t="s">
        <v>51</v>
      </c>
      <c r="B29" s="1">
        <v>46098</v>
      </c>
      <c r="C29" t="s">
        <v>15</v>
      </c>
      <c r="D29" t="s">
        <v>16</v>
      </c>
      <c r="E29" t="s">
        <v>17</v>
      </c>
      <c r="F29" t="s">
        <v>18</v>
      </c>
      <c r="G29" s="2">
        <v>36500</v>
      </c>
      <c r="H29" s="2">
        <v>5292</v>
      </c>
      <c r="I29" s="7">
        <v>14</v>
      </c>
    </row>
    <row r="30" spans="1:9">
      <c r="A30" s="6" t="s">
        <v>52</v>
      </c>
      <c r="B30" s="1">
        <v>46101</v>
      </c>
      <c r="C30" t="s">
        <v>20</v>
      </c>
      <c r="D30" t="s">
        <v>21</v>
      </c>
      <c r="E30" t="s">
        <v>22</v>
      </c>
      <c r="F30" t="s">
        <v>23</v>
      </c>
      <c r="G30" s="2">
        <v>42000</v>
      </c>
      <c r="H30" s="2">
        <v>7139</v>
      </c>
      <c r="I30" s="7">
        <v>2</v>
      </c>
    </row>
    <row r="31" spans="1:9">
      <c r="A31" s="6" t="s">
        <v>53</v>
      </c>
      <c r="B31" s="1">
        <v>46104</v>
      </c>
      <c r="C31" t="s">
        <v>25</v>
      </c>
      <c r="D31" t="s">
        <v>7</v>
      </c>
      <c r="E31" t="s">
        <v>26</v>
      </c>
      <c r="F31" t="s">
        <v>27</v>
      </c>
      <c r="G31" s="2">
        <v>47500</v>
      </c>
      <c r="H31" s="2">
        <v>9262</v>
      </c>
      <c r="I31" s="7">
        <v>3</v>
      </c>
    </row>
    <row r="32" spans="1:9">
      <c r="A32" s="6" t="s">
        <v>54</v>
      </c>
      <c r="B32" s="1">
        <v>46107</v>
      </c>
      <c r="C32" t="s">
        <v>11</v>
      </c>
      <c r="D32" t="s">
        <v>16</v>
      </c>
      <c r="E32" t="s">
        <v>29</v>
      </c>
      <c r="F32" t="s">
        <v>13</v>
      </c>
      <c r="G32" s="2">
        <v>53000</v>
      </c>
      <c r="H32" s="2">
        <v>6360</v>
      </c>
      <c r="I32" s="7">
        <v>4</v>
      </c>
    </row>
    <row r="33" spans="1:9">
      <c r="A33" s="6" t="s">
        <v>55</v>
      </c>
      <c r="B33" s="1">
        <v>46110</v>
      </c>
      <c r="C33" t="s">
        <v>15</v>
      </c>
      <c r="D33" t="s">
        <v>21</v>
      </c>
      <c r="E33" t="s">
        <v>31</v>
      </c>
      <c r="F33" t="s">
        <v>18</v>
      </c>
      <c r="G33" s="2">
        <v>58500</v>
      </c>
      <c r="H33" s="2">
        <v>8482</v>
      </c>
      <c r="I33" s="7">
        <v>5</v>
      </c>
    </row>
    <row r="34" spans="1:9">
      <c r="A34" s="6" t="s">
        <v>56</v>
      </c>
      <c r="B34" s="1">
        <v>46113</v>
      </c>
      <c r="C34" t="s">
        <v>20</v>
      </c>
      <c r="D34" t="s">
        <v>7</v>
      </c>
      <c r="E34" t="s">
        <v>12</v>
      </c>
      <c r="F34" t="s">
        <v>23</v>
      </c>
      <c r="G34" s="2">
        <v>65000</v>
      </c>
      <c r="H34" s="2">
        <v>11049</v>
      </c>
      <c r="I34" s="7">
        <v>6</v>
      </c>
    </row>
    <row r="35" spans="1:9">
      <c r="A35" s="6" t="s">
        <v>57</v>
      </c>
      <c r="B35" s="1">
        <v>46116</v>
      </c>
      <c r="C35" t="s">
        <v>25</v>
      </c>
      <c r="D35" t="s">
        <v>16</v>
      </c>
      <c r="E35" t="s">
        <v>17</v>
      </c>
      <c r="F35" t="s">
        <v>27</v>
      </c>
      <c r="G35" s="2">
        <v>70500</v>
      </c>
      <c r="H35" s="2">
        <v>13747</v>
      </c>
      <c r="I35" s="7">
        <v>7</v>
      </c>
    </row>
    <row r="36" spans="1:9">
      <c r="A36" s="6" t="s">
        <v>58</v>
      </c>
      <c r="B36" s="1">
        <v>46119</v>
      </c>
      <c r="C36" t="s">
        <v>11</v>
      </c>
      <c r="D36" t="s">
        <v>21</v>
      </c>
      <c r="E36" t="s">
        <v>22</v>
      </c>
      <c r="F36" t="s">
        <v>13</v>
      </c>
      <c r="G36" s="2">
        <v>76000</v>
      </c>
      <c r="H36" s="2">
        <v>9120</v>
      </c>
      <c r="I36" s="7">
        <v>8</v>
      </c>
    </row>
    <row r="37" spans="1:9">
      <c r="A37" s="6" t="s">
        <v>59</v>
      </c>
      <c r="B37" s="1">
        <v>46122</v>
      </c>
      <c r="C37" t="s">
        <v>15</v>
      </c>
      <c r="D37" t="s">
        <v>7</v>
      </c>
      <c r="E37" t="s">
        <v>26</v>
      </c>
      <c r="F37" t="s">
        <v>18</v>
      </c>
      <c r="G37" s="2">
        <v>21000</v>
      </c>
      <c r="H37" s="2">
        <v>3045</v>
      </c>
      <c r="I37" s="7">
        <v>9</v>
      </c>
    </row>
    <row r="38" spans="1:9">
      <c r="A38" s="6" t="s">
        <v>60</v>
      </c>
      <c r="B38" s="1">
        <v>46125</v>
      </c>
      <c r="C38" t="s">
        <v>20</v>
      </c>
      <c r="D38" t="s">
        <v>16</v>
      </c>
      <c r="E38" t="s">
        <v>29</v>
      </c>
      <c r="F38" t="s">
        <v>23</v>
      </c>
      <c r="G38" s="2">
        <v>26500</v>
      </c>
      <c r="H38" s="2">
        <v>4505</v>
      </c>
      <c r="I38" s="7">
        <v>10</v>
      </c>
    </row>
    <row r="39" spans="1:9">
      <c r="A39" s="6" t="s">
        <v>61</v>
      </c>
      <c r="B39" s="1">
        <v>46128</v>
      </c>
      <c r="C39" t="s">
        <v>25</v>
      </c>
      <c r="D39" t="s">
        <v>21</v>
      </c>
      <c r="E39" t="s">
        <v>31</v>
      </c>
      <c r="F39" t="s">
        <v>27</v>
      </c>
      <c r="G39" s="2">
        <v>32000</v>
      </c>
      <c r="H39" s="2">
        <v>6240</v>
      </c>
      <c r="I39" s="7">
        <v>11</v>
      </c>
    </row>
    <row r="40" spans="1:9">
      <c r="A40" s="6" t="s">
        <v>62</v>
      </c>
      <c r="B40" s="1">
        <v>46131</v>
      </c>
      <c r="C40" t="s">
        <v>11</v>
      </c>
      <c r="D40" t="s">
        <v>7</v>
      </c>
      <c r="E40" t="s">
        <v>12</v>
      </c>
      <c r="F40" t="s">
        <v>13</v>
      </c>
      <c r="G40" s="2">
        <v>37500</v>
      </c>
      <c r="H40" s="2">
        <v>4500</v>
      </c>
      <c r="I40" s="7">
        <v>12</v>
      </c>
    </row>
    <row r="41" spans="1:9">
      <c r="A41" s="6" t="s">
        <v>63</v>
      </c>
      <c r="B41" s="1">
        <v>46134</v>
      </c>
      <c r="C41" t="s">
        <v>15</v>
      </c>
      <c r="D41" t="s">
        <v>16</v>
      </c>
      <c r="E41" t="s">
        <v>17</v>
      </c>
      <c r="F41" t="s">
        <v>18</v>
      </c>
      <c r="G41" s="2">
        <v>43000</v>
      </c>
      <c r="H41" s="2">
        <v>6235</v>
      </c>
      <c r="I41" s="7">
        <v>13</v>
      </c>
    </row>
    <row r="42" spans="1:9">
      <c r="A42" s="6" t="s">
        <v>64</v>
      </c>
      <c r="B42" s="1">
        <v>46137</v>
      </c>
      <c r="C42" t="s">
        <v>20</v>
      </c>
      <c r="D42" t="s">
        <v>21</v>
      </c>
      <c r="E42" t="s">
        <v>22</v>
      </c>
      <c r="F42" t="s">
        <v>23</v>
      </c>
      <c r="G42" s="2">
        <v>48500</v>
      </c>
      <c r="H42" s="2">
        <v>8245</v>
      </c>
      <c r="I42" s="7">
        <v>14</v>
      </c>
    </row>
    <row r="43" spans="1:9">
      <c r="A43" s="6" t="s">
        <v>65</v>
      </c>
      <c r="B43" s="1">
        <v>46140</v>
      </c>
      <c r="C43" t="s">
        <v>25</v>
      </c>
      <c r="D43" t="s">
        <v>7</v>
      </c>
      <c r="E43" t="s">
        <v>26</v>
      </c>
      <c r="F43" t="s">
        <v>27</v>
      </c>
      <c r="G43" s="2">
        <v>54000</v>
      </c>
      <c r="H43" s="2">
        <v>10530</v>
      </c>
      <c r="I43" s="7">
        <v>2</v>
      </c>
    </row>
    <row r="44" spans="1:9">
      <c r="A44" s="6" t="s">
        <v>66</v>
      </c>
      <c r="B44" s="1">
        <v>46143</v>
      </c>
      <c r="C44" t="s">
        <v>11</v>
      </c>
      <c r="D44" t="s">
        <v>16</v>
      </c>
      <c r="E44" t="s">
        <v>29</v>
      </c>
      <c r="F44" t="s">
        <v>13</v>
      </c>
      <c r="G44" s="2">
        <v>60500</v>
      </c>
      <c r="H44" s="2">
        <v>7260</v>
      </c>
      <c r="I44" s="7">
        <v>3</v>
      </c>
    </row>
    <row r="45" spans="1:9">
      <c r="A45" s="6" t="s">
        <v>67</v>
      </c>
      <c r="B45" s="1">
        <v>46146</v>
      </c>
      <c r="C45" t="s">
        <v>15</v>
      </c>
      <c r="D45" t="s">
        <v>21</v>
      </c>
      <c r="E45" t="s">
        <v>31</v>
      </c>
      <c r="F45" t="s">
        <v>18</v>
      </c>
      <c r="G45" s="2">
        <v>66000</v>
      </c>
      <c r="H45" s="2">
        <v>9570</v>
      </c>
      <c r="I45" s="7">
        <v>4</v>
      </c>
    </row>
    <row r="46" spans="1:9">
      <c r="A46" s="6" t="s">
        <v>68</v>
      </c>
      <c r="B46" s="1">
        <v>46149</v>
      </c>
      <c r="C46" t="s">
        <v>20</v>
      </c>
      <c r="D46" t="s">
        <v>7</v>
      </c>
      <c r="E46" t="s">
        <v>12</v>
      </c>
      <c r="F46" t="s">
        <v>23</v>
      </c>
      <c r="G46" s="2">
        <v>71500</v>
      </c>
      <c r="H46" s="2">
        <v>12154</v>
      </c>
      <c r="I46" s="7">
        <v>5</v>
      </c>
    </row>
    <row r="47" spans="1:9">
      <c r="A47" s="6" t="s">
        <v>69</v>
      </c>
      <c r="B47" s="1">
        <v>46152</v>
      </c>
      <c r="C47" t="s">
        <v>25</v>
      </c>
      <c r="D47" t="s">
        <v>16</v>
      </c>
      <c r="E47" t="s">
        <v>17</v>
      </c>
      <c r="F47" t="s">
        <v>27</v>
      </c>
      <c r="G47" s="2">
        <v>77000</v>
      </c>
      <c r="H47" s="2">
        <v>15015</v>
      </c>
      <c r="I47" s="7">
        <v>6</v>
      </c>
    </row>
    <row r="48" spans="1:9">
      <c r="A48" s="6" t="s">
        <v>70</v>
      </c>
      <c r="B48" s="1">
        <v>46155</v>
      </c>
      <c r="C48" t="s">
        <v>11</v>
      </c>
      <c r="D48" t="s">
        <v>21</v>
      </c>
      <c r="E48" t="s">
        <v>22</v>
      </c>
      <c r="F48" t="s">
        <v>13</v>
      </c>
      <c r="G48" s="2">
        <v>22000</v>
      </c>
      <c r="H48" s="2">
        <v>2640</v>
      </c>
      <c r="I48" s="7">
        <v>7</v>
      </c>
    </row>
    <row r="49" spans="1:9">
      <c r="A49" s="6" t="s">
        <v>71</v>
      </c>
      <c r="B49" s="1">
        <v>46158</v>
      </c>
      <c r="C49" t="s">
        <v>15</v>
      </c>
      <c r="D49" t="s">
        <v>7</v>
      </c>
      <c r="E49" t="s">
        <v>26</v>
      </c>
      <c r="F49" t="s">
        <v>18</v>
      </c>
      <c r="G49" s="2">
        <v>27500</v>
      </c>
      <c r="H49" s="2">
        <v>3987</v>
      </c>
      <c r="I49" s="7">
        <v>8</v>
      </c>
    </row>
    <row r="50" spans="1:9">
      <c r="A50" s="6" t="s">
        <v>72</v>
      </c>
      <c r="B50" s="1">
        <v>46161</v>
      </c>
      <c r="C50" t="s">
        <v>20</v>
      </c>
      <c r="D50" t="s">
        <v>16</v>
      </c>
      <c r="E50" t="s">
        <v>29</v>
      </c>
      <c r="F50" t="s">
        <v>23</v>
      </c>
      <c r="G50" s="2">
        <v>33000</v>
      </c>
      <c r="H50" s="2">
        <v>5609</v>
      </c>
      <c r="I50" s="7">
        <v>9</v>
      </c>
    </row>
    <row r="51" spans="1:9">
      <c r="A51" s="6" t="s">
        <v>73</v>
      </c>
      <c r="B51" s="1">
        <v>46164</v>
      </c>
      <c r="C51" t="s">
        <v>25</v>
      </c>
      <c r="D51" t="s">
        <v>21</v>
      </c>
      <c r="E51" t="s">
        <v>31</v>
      </c>
      <c r="F51" t="s">
        <v>27</v>
      </c>
      <c r="G51" s="2">
        <v>38500</v>
      </c>
      <c r="H51" s="2">
        <v>7507</v>
      </c>
      <c r="I51" s="7">
        <v>10</v>
      </c>
    </row>
    <row r="52" spans="1:9">
      <c r="A52" s="6" t="s">
        <v>74</v>
      </c>
      <c r="B52" s="1">
        <v>46167</v>
      </c>
      <c r="C52" t="s">
        <v>11</v>
      </c>
      <c r="D52" t="s">
        <v>7</v>
      </c>
      <c r="E52" t="s">
        <v>12</v>
      </c>
      <c r="F52" t="s">
        <v>13</v>
      </c>
      <c r="G52" s="2">
        <v>44000</v>
      </c>
      <c r="H52" s="2">
        <v>5280</v>
      </c>
      <c r="I52" s="7">
        <v>11</v>
      </c>
    </row>
    <row r="53" spans="1:9">
      <c r="A53" s="6" t="s">
        <v>75</v>
      </c>
      <c r="B53" s="1">
        <v>46170</v>
      </c>
      <c r="C53" t="s">
        <v>15</v>
      </c>
      <c r="D53" t="s">
        <v>16</v>
      </c>
      <c r="E53" t="s">
        <v>17</v>
      </c>
      <c r="F53" t="s">
        <v>18</v>
      </c>
      <c r="G53" s="2">
        <v>49500</v>
      </c>
      <c r="H53" s="2">
        <v>7177</v>
      </c>
      <c r="I53" s="7">
        <v>12</v>
      </c>
    </row>
    <row r="54" spans="1:9">
      <c r="A54" s="6" t="s">
        <v>76</v>
      </c>
      <c r="B54" s="1">
        <v>46173</v>
      </c>
      <c r="C54" t="s">
        <v>20</v>
      </c>
      <c r="D54" t="s">
        <v>21</v>
      </c>
      <c r="E54" t="s">
        <v>22</v>
      </c>
      <c r="F54" t="s">
        <v>23</v>
      </c>
      <c r="G54" s="2">
        <v>56000</v>
      </c>
      <c r="H54" s="2">
        <v>9520</v>
      </c>
      <c r="I54" s="7">
        <v>13</v>
      </c>
    </row>
    <row r="55" spans="1:9">
      <c r="A55" s="6" t="s">
        <v>77</v>
      </c>
      <c r="B55" s="1">
        <v>46176</v>
      </c>
      <c r="C55" t="s">
        <v>25</v>
      </c>
      <c r="D55" t="s">
        <v>7</v>
      </c>
      <c r="E55" t="s">
        <v>26</v>
      </c>
      <c r="F55" t="s">
        <v>27</v>
      </c>
      <c r="G55" s="2">
        <v>61500</v>
      </c>
      <c r="H55" s="2">
        <v>11992</v>
      </c>
      <c r="I55" s="7">
        <v>14</v>
      </c>
    </row>
    <row r="56" spans="1:9">
      <c r="A56" s="6" t="s">
        <v>78</v>
      </c>
      <c r="B56" s="1">
        <v>46179</v>
      </c>
      <c r="C56" t="s">
        <v>11</v>
      </c>
      <c r="D56" t="s">
        <v>16</v>
      </c>
      <c r="E56" t="s">
        <v>29</v>
      </c>
      <c r="F56" t="s">
        <v>13</v>
      </c>
      <c r="G56" s="2">
        <v>67000</v>
      </c>
      <c r="H56" s="2">
        <v>8040</v>
      </c>
      <c r="I56" s="7">
        <v>2</v>
      </c>
    </row>
    <row r="57" spans="1:9">
      <c r="A57" s="6" t="s">
        <v>79</v>
      </c>
      <c r="B57" s="1">
        <v>46182</v>
      </c>
      <c r="C57" t="s">
        <v>15</v>
      </c>
      <c r="D57" t="s">
        <v>21</v>
      </c>
      <c r="E57" t="s">
        <v>31</v>
      </c>
      <c r="F57" t="s">
        <v>18</v>
      </c>
      <c r="G57" s="2">
        <v>72500</v>
      </c>
      <c r="H57" s="2">
        <v>10512</v>
      </c>
      <c r="I57" s="7">
        <v>3</v>
      </c>
    </row>
    <row r="58" spans="1:9">
      <c r="A58" s="6" t="s">
        <v>80</v>
      </c>
      <c r="B58" s="1">
        <v>46185</v>
      </c>
      <c r="C58" t="s">
        <v>20</v>
      </c>
      <c r="D58" t="s">
        <v>7</v>
      </c>
      <c r="E58" t="s">
        <v>12</v>
      </c>
      <c r="F58" t="s">
        <v>23</v>
      </c>
      <c r="G58" s="2">
        <v>78000</v>
      </c>
      <c r="H58" s="2">
        <v>13259</v>
      </c>
      <c r="I58" s="7">
        <v>4</v>
      </c>
    </row>
    <row r="59" spans="1:9">
      <c r="A59" s="6" t="s">
        <v>81</v>
      </c>
      <c r="B59" s="1">
        <v>46188</v>
      </c>
      <c r="C59" t="s">
        <v>25</v>
      </c>
      <c r="D59" t="s">
        <v>16</v>
      </c>
      <c r="E59" t="s">
        <v>17</v>
      </c>
      <c r="F59" t="s">
        <v>27</v>
      </c>
      <c r="G59" s="2">
        <v>23000</v>
      </c>
      <c r="H59" s="2">
        <v>4485</v>
      </c>
      <c r="I59" s="7">
        <v>5</v>
      </c>
    </row>
    <row r="60" spans="1:9">
      <c r="A60" s="6" t="s">
        <v>82</v>
      </c>
      <c r="B60" s="1">
        <v>46191</v>
      </c>
      <c r="C60" t="s">
        <v>11</v>
      </c>
      <c r="D60" t="s">
        <v>21</v>
      </c>
      <c r="E60" t="s">
        <v>22</v>
      </c>
      <c r="F60" t="s">
        <v>13</v>
      </c>
      <c r="G60" s="2">
        <v>28500</v>
      </c>
      <c r="H60" s="2">
        <v>3420</v>
      </c>
      <c r="I60" s="7">
        <v>6</v>
      </c>
    </row>
    <row r="61" spans="1:9">
      <c r="A61" s="6" t="s">
        <v>83</v>
      </c>
      <c r="B61" s="1">
        <v>46194</v>
      </c>
      <c r="C61" t="s">
        <v>15</v>
      </c>
      <c r="D61" t="s">
        <v>7</v>
      </c>
      <c r="E61" t="s">
        <v>26</v>
      </c>
      <c r="F61" t="s">
        <v>18</v>
      </c>
      <c r="G61" s="2">
        <v>34000</v>
      </c>
      <c r="H61" s="2">
        <v>4930</v>
      </c>
      <c r="I61" s="7">
        <v>7</v>
      </c>
    </row>
    <row r="62" spans="1:9">
      <c r="A62" s="6" t="s">
        <v>84</v>
      </c>
      <c r="B62" s="1">
        <v>46197</v>
      </c>
      <c r="C62" t="s">
        <v>20</v>
      </c>
      <c r="D62" t="s">
        <v>16</v>
      </c>
      <c r="E62" t="s">
        <v>29</v>
      </c>
      <c r="F62" t="s">
        <v>23</v>
      </c>
      <c r="G62" s="2">
        <v>39500</v>
      </c>
      <c r="H62" s="2">
        <v>6714</v>
      </c>
      <c r="I62" s="7">
        <v>8</v>
      </c>
    </row>
    <row r="63" spans="1:9">
      <c r="A63" s="6" t="s">
        <v>85</v>
      </c>
      <c r="B63" s="1">
        <v>46200</v>
      </c>
      <c r="C63" t="s">
        <v>25</v>
      </c>
      <c r="D63" t="s">
        <v>21</v>
      </c>
      <c r="E63" t="s">
        <v>31</v>
      </c>
      <c r="F63" t="s">
        <v>27</v>
      </c>
      <c r="G63" s="2">
        <v>45000</v>
      </c>
      <c r="H63" s="2">
        <v>8775</v>
      </c>
      <c r="I63" s="7">
        <v>9</v>
      </c>
    </row>
    <row r="64" spans="1:9">
      <c r="A64" s="6" t="s">
        <v>86</v>
      </c>
      <c r="B64" s="1">
        <v>46203</v>
      </c>
      <c r="C64" t="s">
        <v>11</v>
      </c>
      <c r="D64" t="s">
        <v>7</v>
      </c>
      <c r="E64" t="s">
        <v>12</v>
      </c>
      <c r="F64" t="s">
        <v>13</v>
      </c>
      <c r="G64" s="2">
        <v>51500</v>
      </c>
      <c r="H64" s="2">
        <v>6180</v>
      </c>
      <c r="I64" s="7">
        <v>10</v>
      </c>
    </row>
    <row r="65" spans="1:9">
      <c r="A65" s="6" t="s">
        <v>87</v>
      </c>
      <c r="B65" s="1">
        <v>46206</v>
      </c>
      <c r="C65" t="s">
        <v>15</v>
      </c>
      <c r="D65" t="s">
        <v>16</v>
      </c>
      <c r="E65" t="s">
        <v>17</v>
      </c>
      <c r="F65" t="s">
        <v>18</v>
      </c>
      <c r="G65" s="2">
        <v>57000</v>
      </c>
      <c r="H65" s="2">
        <v>8265</v>
      </c>
      <c r="I65" s="7">
        <v>11</v>
      </c>
    </row>
    <row r="66" spans="1:9">
      <c r="A66" s="6" t="s">
        <v>88</v>
      </c>
      <c r="B66" s="1">
        <v>46209</v>
      </c>
      <c r="C66" t="s">
        <v>20</v>
      </c>
      <c r="D66" t="s">
        <v>21</v>
      </c>
      <c r="E66" t="s">
        <v>22</v>
      </c>
      <c r="F66" t="s">
        <v>23</v>
      </c>
      <c r="G66" s="2">
        <v>62500</v>
      </c>
      <c r="H66" s="2">
        <v>10624</v>
      </c>
      <c r="I66" s="7">
        <v>12</v>
      </c>
    </row>
    <row r="67" spans="1:9">
      <c r="A67" s="6" t="s">
        <v>89</v>
      </c>
      <c r="B67" s="1">
        <v>46212</v>
      </c>
      <c r="C67" t="s">
        <v>25</v>
      </c>
      <c r="D67" t="s">
        <v>7</v>
      </c>
      <c r="E67" t="s">
        <v>26</v>
      </c>
      <c r="F67" t="s">
        <v>27</v>
      </c>
      <c r="G67" s="2">
        <v>68000</v>
      </c>
      <c r="H67" s="2">
        <v>13260</v>
      </c>
      <c r="I67" s="7">
        <v>13</v>
      </c>
    </row>
    <row r="68" spans="1:9">
      <c r="A68" s="6" t="s">
        <v>90</v>
      </c>
      <c r="B68" s="1">
        <v>46215</v>
      </c>
      <c r="C68" t="s">
        <v>11</v>
      </c>
      <c r="D68" t="s">
        <v>16</v>
      </c>
      <c r="E68" t="s">
        <v>29</v>
      </c>
      <c r="F68" t="s">
        <v>13</v>
      </c>
      <c r="G68" s="2">
        <v>73500</v>
      </c>
      <c r="H68" s="2">
        <v>8820</v>
      </c>
      <c r="I68" s="7">
        <v>14</v>
      </c>
    </row>
    <row r="69" spans="1:9">
      <c r="A69" s="6" t="s">
        <v>91</v>
      </c>
      <c r="B69" s="1">
        <v>46218</v>
      </c>
      <c r="C69" t="s">
        <v>15</v>
      </c>
      <c r="D69" t="s">
        <v>21</v>
      </c>
      <c r="E69" t="s">
        <v>31</v>
      </c>
      <c r="F69" t="s">
        <v>18</v>
      </c>
      <c r="G69" s="2">
        <v>79000</v>
      </c>
      <c r="H69" s="2">
        <v>11455</v>
      </c>
      <c r="I69" s="7">
        <v>2</v>
      </c>
    </row>
    <row r="70" spans="1:9">
      <c r="A70" s="6" t="s">
        <v>92</v>
      </c>
      <c r="B70" s="1">
        <v>46221</v>
      </c>
      <c r="C70" t="s">
        <v>20</v>
      </c>
      <c r="D70" t="s">
        <v>7</v>
      </c>
      <c r="E70" t="s">
        <v>12</v>
      </c>
      <c r="F70" t="s">
        <v>23</v>
      </c>
      <c r="G70" s="2">
        <v>24000</v>
      </c>
      <c r="H70" s="2">
        <v>4079</v>
      </c>
      <c r="I70" s="7">
        <v>3</v>
      </c>
    </row>
    <row r="71" spans="1:9">
      <c r="A71" s="6" t="s">
        <v>93</v>
      </c>
      <c r="B71" s="1">
        <v>46224</v>
      </c>
      <c r="C71" t="s">
        <v>25</v>
      </c>
      <c r="D71" t="s">
        <v>16</v>
      </c>
      <c r="E71" t="s">
        <v>17</v>
      </c>
      <c r="F71" t="s">
        <v>27</v>
      </c>
      <c r="G71" s="2">
        <v>29500</v>
      </c>
      <c r="H71" s="2">
        <v>5752</v>
      </c>
      <c r="I71" s="7">
        <v>4</v>
      </c>
    </row>
    <row r="72" spans="1:9">
      <c r="A72" s="6" t="s">
        <v>94</v>
      </c>
      <c r="B72" s="1">
        <v>46227</v>
      </c>
      <c r="C72" t="s">
        <v>11</v>
      </c>
      <c r="D72" t="s">
        <v>21</v>
      </c>
      <c r="E72" t="s">
        <v>22</v>
      </c>
      <c r="F72" t="s">
        <v>13</v>
      </c>
      <c r="G72" s="2">
        <v>35000</v>
      </c>
      <c r="H72" s="2">
        <v>4200</v>
      </c>
      <c r="I72" s="7">
        <v>5</v>
      </c>
    </row>
    <row r="73" spans="1:9">
      <c r="A73" s="6" t="s">
        <v>95</v>
      </c>
      <c r="B73" s="1">
        <v>46230</v>
      </c>
      <c r="C73" t="s">
        <v>15</v>
      </c>
      <c r="D73" t="s">
        <v>7</v>
      </c>
      <c r="E73" t="s">
        <v>26</v>
      </c>
      <c r="F73" t="s">
        <v>18</v>
      </c>
      <c r="G73" s="2">
        <v>40500</v>
      </c>
      <c r="H73" s="2">
        <v>5872</v>
      </c>
      <c r="I73" s="7">
        <v>6</v>
      </c>
    </row>
    <row r="74" spans="1:9">
      <c r="A74" s="6" t="s">
        <v>96</v>
      </c>
      <c r="B74" s="1">
        <v>46233</v>
      </c>
      <c r="C74" t="s">
        <v>20</v>
      </c>
      <c r="D74" t="s">
        <v>16</v>
      </c>
      <c r="E74" t="s">
        <v>29</v>
      </c>
      <c r="F74" t="s">
        <v>23</v>
      </c>
      <c r="G74" s="2">
        <v>47000</v>
      </c>
      <c r="H74" s="2">
        <v>7989</v>
      </c>
      <c r="I74" s="7">
        <v>7</v>
      </c>
    </row>
    <row r="75" spans="1:9">
      <c r="A75" s="6" t="s">
        <v>97</v>
      </c>
      <c r="B75" s="1">
        <v>46236</v>
      </c>
      <c r="C75" t="s">
        <v>25</v>
      </c>
      <c r="D75" t="s">
        <v>21</v>
      </c>
      <c r="E75" t="s">
        <v>31</v>
      </c>
      <c r="F75" t="s">
        <v>27</v>
      </c>
      <c r="G75" s="2">
        <v>52500</v>
      </c>
      <c r="H75" s="2">
        <v>10237</v>
      </c>
      <c r="I75" s="7">
        <v>8</v>
      </c>
    </row>
    <row r="76" spans="1:9">
      <c r="A76" s="6" t="s">
        <v>98</v>
      </c>
      <c r="B76" s="1">
        <v>46239</v>
      </c>
      <c r="C76" t="s">
        <v>11</v>
      </c>
      <c r="D76" t="s">
        <v>7</v>
      </c>
      <c r="E76" t="s">
        <v>12</v>
      </c>
      <c r="F76" t="s">
        <v>13</v>
      </c>
      <c r="G76" s="2">
        <v>58000</v>
      </c>
      <c r="H76" s="2">
        <v>6960</v>
      </c>
      <c r="I76" s="7">
        <v>9</v>
      </c>
    </row>
    <row r="77" spans="1:9">
      <c r="A77" s="6" t="s">
        <v>99</v>
      </c>
      <c r="B77" s="1">
        <v>46242</v>
      </c>
      <c r="C77" t="s">
        <v>15</v>
      </c>
      <c r="D77" t="s">
        <v>16</v>
      </c>
      <c r="E77" t="s">
        <v>17</v>
      </c>
      <c r="F77" t="s">
        <v>18</v>
      </c>
      <c r="G77" s="2">
        <v>63500</v>
      </c>
      <c r="H77" s="2">
        <v>9207</v>
      </c>
      <c r="I77" s="7">
        <v>10</v>
      </c>
    </row>
    <row r="78" spans="1:9">
      <c r="A78" s="6" t="s">
        <v>100</v>
      </c>
      <c r="B78" s="1">
        <v>46245</v>
      </c>
      <c r="C78" t="s">
        <v>20</v>
      </c>
      <c r="D78" t="s">
        <v>21</v>
      </c>
      <c r="E78" t="s">
        <v>22</v>
      </c>
      <c r="F78" t="s">
        <v>23</v>
      </c>
      <c r="G78" s="2">
        <v>69000</v>
      </c>
      <c r="H78" s="2">
        <v>11729</v>
      </c>
      <c r="I78" s="7">
        <v>11</v>
      </c>
    </row>
    <row r="79" spans="1:9">
      <c r="A79" s="6" t="s">
        <v>101</v>
      </c>
      <c r="B79" s="1">
        <v>46248</v>
      </c>
      <c r="C79" t="s">
        <v>25</v>
      </c>
      <c r="D79" t="s">
        <v>7</v>
      </c>
      <c r="E79" t="s">
        <v>26</v>
      </c>
      <c r="F79" t="s">
        <v>27</v>
      </c>
      <c r="G79" s="2">
        <v>74500</v>
      </c>
      <c r="H79" s="2">
        <v>14527</v>
      </c>
      <c r="I79" s="7">
        <v>12</v>
      </c>
    </row>
    <row r="80" spans="1:9">
      <c r="A80" s="6" t="s">
        <v>102</v>
      </c>
      <c r="B80" s="1">
        <v>46251</v>
      </c>
      <c r="C80" t="s">
        <v>11</v>
      </c>
      <c r="D80" t="s">
        <v>16</v>
      </c>
      <c r="E80" t="s">
        <v>29</v>
      </c>
      <c r="F80" t="s">
        <v>13</v>
      </c>
      <c r="G80" s="2">
        <v>80000</v>
      </c>
      <c r="H80" s="2">
        <v>9600</v>
      </c>
      <c r="I80" s="7">
        <v>13</v>
      </c>
    </row>
    <row r="81" spans="1:9">
      <c r="A81" s="6" t="s">
        <v>103</v>
      </c>
      <c r="B81" s="1">
        <v>46254</v>
      </c>
      <c r="C81" t="s">
        <v>15</v>
      </c>
      <c r="D81" t="s">
        <v>21</v>
      </c>
      <c r="E81" t="s">
        <v>31</v>
      </c>
      <c r="F81" t="s">
        <v>18</v>
      </c>
      <c r="G81" s="2">
        <v>25000</v>
      </c>
      <c r="H81" s="2">
        <v>3624</v>
      </c>
      <c r="I81" s="7">
        <v>14</v>
      </c>
    </row>
    <row r="82" spans="1:9">
      <c r="A82" s="6" t="s">
        <v>104</v>
      </c>
      <c r="B82" s="1">
        <v>46257</v>
      </c>
      <c r="C82" t="s">
        <v>20</v>
      </c>
      <c r="D82" t="s">
        <v>7</v>
      </c>
      <c r="E82" t="s">
        <v>12</v>
      </c>
      <c r="F82" t="s">
        <v>23</v>
      </c>
      <c r="G82" s="2">
        <v>30500</v>
      </c>
      <c r="H82" s="2">
        <v>5184</v>
      </c>
      <c r="I82" s="7">
        <v>2</v>
      </c>
    </row>
    <row r="83" spans="1:9">
      <c r="A83" s="8" t="s">
        <v>105</v>
      </c>
      <c r="B83" s="9">
        <v>46260</v>
      </c>
      <c r="C83" s="10" t="s">
        <v>25</v>
      </c>
      <c r="D83" s="10" t="s">
        <v>16</v>
      </c>
      <c r="E83" s="10" t="s">
        <v>17</v>
      </c>
      <c r="F83" s="10" t="s">
        <v>27</v>
      </c>
      <c r="G83" s="11">
        <v>36000</v>
      </c>
      <c r="H83" s="11">
        <v>7020</v>
      </c>
      <c r="I83" s="12">
        <v>3</v>
      </c>
    </row>
    <row r="84" spans="1:9">
      <c r="A84">
        <f>COUNTA(A4:A83)</f>
        <v>80</v>
      </c>
      <c r="G84" s="2">
        <f>SUM(PivotSourceTable[Sales])</f>
        <v>3854000</v>
      </c>
      <c r="H84" s="2">
        <f>SUM(PivotSourceTable[Profit])</f>
        <v>605804</v>
      </c>
      <c r="I84" s="2">
        <f>SUM(PivotSourceTable[Units])</f>
        <v>629</v>
      </c>
    </row>
  </sheetData>
  <mergeCells count="1">
    <mergeCell ref="A1:I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sqref="A1:F1"/>
    </sheetView>
  </sheetViews>
  <sheetFormatPr defaultRowHeight="14"/>
  <cols>
    <col min="1" max="1" width="10" customWidth="1"/>
    <col min="2" max="3" width="18" customWidth="1"/>
    <col min="4" max="4" width="22" customWidth="1"/>
    <col min="5" max="5" width="30" customWidth="1"/>
    <col min="6" max="6" width="38" customWidth="1"/>
  </cols>
  <sheetData>
    <row r="1" spans="1:6" ht="18.649999999999999" customHeight="1">
      <c r="A1" s="33" t="s">
        <v>106</v>
      </c>
      <c r="B1" s="33"/>
      <c r="C1" s="33"/>
      <c r="D1" s="33"/>
      <c r="E1" s="33"/>
      <c r="F1" s="33"/>
    </row>
    <row r="3" spans="1:6">
      <c r="A3" s="3" t="s">
        <v>107</v>
      </c>
      <c r="B3" s="4" t="s">
        <v>108</v>
      </c>
      <c r="C3" s="4" t="s">
        <v>109</v>
      </c>
      <c r="D3" s="4" t="s">
        <v>110</v>
      </c>
      <c r="E3" s="4" t="s">
        <v>111</v>
      </c>
      <c r="F3" s="5" t="s">
        <v>112</v>
      </c>
    </row>
    <row r="4" spans="1:6">
      <c r="A4" s="13" t="s">
        <v>113</v>
      </c>
      <c r="B4" s="14" t="s">
        <v>3</v>
      </c>
      <c r="C4" s="14"/>
      <c r="D4" s="14" t="s">
        <v>114</v>
      </c>
      <c r="E4" s="14"/>
      <c r="F4" s="15" t="s">
        <v>115</v>
      </c>
    </row>
    <row r="5" spans="1:6">
      <c r="A5" s="13" t="s">
        <v>116</v>
      </c>
      <c r="B5" s="14" t="s">
        <v>6</v>
      </c>
      <c r="C5" s="14"/>
      <c r="D5" s="14" t="s">
        <v>114</v>
      </c>
      <c r="E5" s="14"/>
      <c r="F5" s="15" t="s">
        <v>117</v>
      </c>
    </row>
    <row r="6" spans="1:6">
      <c r="A6" s="13" t="s">
        <v>118</v>
      </c>
      <c r="B6" s="14" t="s">
        <v>3</v>
      </c>
      <c r="C6" s="14" t="s">
        <v>6</v>
      </c>
      <c r="D6" s="14" t="s">
        <v>114</v>
      </c>
      <c r="E6" s="14"/>
      <c r="F6" s="15" t="s">
        <v>119</v>
      </c>
    </row>
    <row r="7" spans="1:6">
      <c r="A7" s="13" t="s">
        <v>120</v>
      </c>
      <c r="B7" s="14" t="s">
        <v>4</v>
      </c>
      <c r="C7" s="14"/>
      <c r="D7" s="14" t="s">
        <v>121</v>
      </c>
      <c r="E7" s="14"/>
      <c r="F7" s="15" t="s">
        <v>122</v>
      </c>
    </row>
    <row r="8" spans="1:6">
      <c r="A8" s="13" t="s">
        <v>123</v>
      </c>
      <c r="B8" s="14" t="s">
        <v>5</v>
      </c>
      <c r="C8" s="14"/>
      <c r="D8" s="14" t="s">
        <v>124</v>
      </c>
      <c r="E8" s="14"/>
      <c r="F8" s="15" t="s">
        <v>125</v>
      </c>
    </row>
    <row r="9" spans="1:6">
      <c r="A9" s="13" t="s">
        <v>126</v>
      </c>
      <c r="B9" s="14" t="s">
        <v>2</v>
      </c>
      <c r="C9" s="14"/>
      <c r="D9" s="14" t="s">
        <v>114</v>
      </c>
      <c r="E9" s="14" t="s">
        <v>127</v>
      </c>
      <c r="F9" s="15" t="s">
        <v>128</v>
      </c>
    </row>
    <row r="10" spans="1:6">
      <c r="A10" s="13" t="s">
        <v>129</v>
      </c>
      <c r="B10" s="14" t="s">
        <v>3</v>
      </c>
      <c r="C10" s="14"/>
      <c r="D10" s="14" t="s">
        <v>114</v>
      </c>
      <c r="E10" s="14" t="s">
        <v>130</v>
      </c>
      <c r="F10" s="15" t="s">
        <v>131</v>
      </c>
    </row>
    <row r="11" spans="1:6">
      <c r="A11" s="13" t="s">
        <v>132</v>
      </c>
      <c r="B11" s="14" t="s">
        <v>5</v>
      </c>
      <c r="C11" s="14"/>
      <c r="D11" s="14" t="s">
        <v>114</v>
      </c>
      <c r="E11" s="14" t="s">
        <v>133</v>
      </c>
      <c r="F11" s="15" t="s">
        <v>134</v>
      </c>
    </row>
    <row r="12" spans="1:6">
      <c r="A12" s="16" t="s">
        <v>135</v>
      </c>
      <c r="B12" s="17" t="s">
        <v>3</v>
      </c>
      <c r="C12" s="17" t="s">
        <v>4</v>
      </c>
      <c r="D12" s="17" t="s">
        <v>136</v>
      </c>
      <c r="E12" s="17" t="s">
        <v>137</v>
      </c>
      <c r="F12" s="18" t="s">
        <v>138</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sqref="A1:D1"/>
    </sheetView>
  </sheetViews>
  <sheetFormatPr defaultRowHeight="14"/>
  <cols>
    <col min="1" max="1" width="8" customWidth="1"/>
    <col min="2" max="2" width="68" customWidth="1"/>
    <col min="3" max="3" width="34" customWidth="1"/>
    <col min="4" max="4" width="28" customWidth="1"/>
  </cols>
  <sheetData>
    <row r="1" spans="1:4" ht="18.649999999999999" customHeight="1">
      <c r="A1" s="33" t="s">
        <v>139</v>
      </c>
      <c r="B1" s="33"/>
      <c r="C1" s="33"/>
      <c r="D1" s="33"/>
    </row>
    <row r="3" spans="1:4">
      <c r="A3" s="3" t="s">
        <v>140</v>
      </c>
      <c r="B3" s="4" t="s">
        <v>141</v>
      </c>
      <c r="C3" s="4" t="s">
        <v>142</v>
      </c>
      <c r="D3" s="5" t="s">
        <v>143</v>
      </c>
    </row>
    <row r="4" spans="1:4" ht="28">
      <c r="A4" s="13" t="s">
        <v>113</v>
      </c>
      <c r="B4" s="14" t="s">
        <v>144</v>
      </c>
      <c r="C4" s="14" t="s">
        <v>145</v>
      </c>
      <c r="D4" s="15" t="s">
        <v>146</v>
      </c>
    </row>
    <row r="5" spans="1:4">
      <c r="A5" s="13" t="s">
        <v>116</v>
      </c>
      <c r="B5" s="14" t="s">
        <v>147</v>
      </c>
      <c r="C5" s="14" t="s">
        <v>148</v>
      </c>
      <c r="D5" s="15" t="s">
        <v>149</v>
      </c>
    </row>
    <row r="6" spans="1:4">
      <c r="A6" s="13" t="s">
        <v>118</v>
      </c>
      <c r="B6" s="14" t="s">
        <v>150</v>
      </c>
      <c r="C6" s="14" t="s">
        <v>151</v>
      </c>
      <c r="D6" s="15" t="s">
        <v>109</v>
      </c>
    </row>
    <row r="7" spans="1:4">
      <c r="A7" s="13" t="s">
        <v>120</v>
      </c>
      <c r="B7" s="14" t="s">
        <v>152</v>
      </c>
      <c r="C7" s="14" t="s">
        <v>153</v>
      </c>
      <c r="D7" s="15" t="s">
        <v>154</v>
      </c>
    </row>
    <row r="8" spans="1:4">
      <c r="A8" s="13" t="s">
        <v>123</v>
      </c>
      <c r="B8" s="14" t="s">
        <v>155</v>
      </c>
      <c r="C8" s="14" t="s">
        <v>156</v>
      </c>
      <c r="D8" s="15" t="s">
        <v>157</v>
      </c>
    </row>
    <row r="9" spans="1:4">
      <c r="A9" s="13" t="s">
        <v>126</v>
      </c>
      <c r="B9" s="14" t="s">
        <v>158</v>
      </c>
      <c r="C9" s="14" t="s">
        <v>159</v>
      </c>
      <c r="D9" s="15" t="s">
        <v>160</v>
      </c>
    </row>
    <row r="10" spans="1:4">
      <c r="A10" s="13" t="s">
        <v>129</v>
      </c>
      <c r="B10" s="14" t="s">
        <v>161</v>
      </c>
      <c r="C10" s="14" t="s">
        <v>162</v>
      </c>
      <c r="D10" s="15" t="s">
        <v>163</v>
      </c>
    </row>
    <row r="11" spans="1:4">
      <c r="A11" s="16" t="s">
        <v>132</v>
      </c>
      <c r="B11" s="17" t="s">
        <v>164</v>
      </c>
      <c r="C11" s="17" t="s">
        <v>165</v>
      </c>
      <c r="D11" s="18" t="s">
        <v>166</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Business_Transactions</vt:lpstr>
      <vt:lpstr>Pivot_Practice_Guide</vt:lpstr>
      <vt:lpstr>Student_Tasks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2026-08-12T08:49:20Z</dcterms:created>
  <dcterms:modified xsi:type="dcterms:W3CDTF">2026-08-12T08:50:52Z</dcterms:modified>
</cp:coreProperties>
</file>